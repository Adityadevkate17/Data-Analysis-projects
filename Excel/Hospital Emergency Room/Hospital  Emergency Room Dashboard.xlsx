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1c85f81a8cd398c2/Documents/"/>
    </mc:Choice>
  </mc:AlternateContent>
  <xr:revisionPtr revIDLastSave="1109" documentId="6_{71D83E07-F815-4880-997D-3DD0BC2519F4}" xr6:coauthVersionLast="47" xr6:coauthVersionMax="47" xr10:uidLastSave="{C5819F94-229E-4032-9E23-EF3ED3D408F5}"/>
  <bookViews>
    <workbookView xWindow="-108" yWindow="-108" windowWidth="23256" windowHeight="12456" activeTab="1" xr2:uid="{E1AE63F1-475B-4E78-A61F-C4665DEF5D2E}"/>
  </bookViews>
  <sheets>
    <sheet name="pivot report" sheetId="1" r:id="rId1"/>
    <sheet name="Dashboard" sheetId="2" r:id="rId2"/>
    <sheet name="daily visit no of patient" sheetId="3" r:id="rId3"/>
  </sheets>
  <definedNames>
    <definedName name="Slicer_Date__Month">#N/A</definedName>
    <definedName name="Slicer_Date__Year">#N/A</definedName>
  </definedNames>
  <calcPr calcId="191029"/>
  <pivotCaches>
    <pivotCache cacheId="3426" r:id="rId4"/>
    <pivotCache cacheId="3429" r:id="rId5"/>
    <pivotCache cacheId="3432" r:id="rId6"/>
    <pivotCache cacheId="3435" r:id="rId7"/>
    <pivotCache cacheId="3438" r:id="rId8"/>
    <pivotCache cacheId="3441" r:id="rId9"/>
    <pivotCache cacheId="3444" r:id="rId10"/>
    <pivotCache cacheId="3447" r:id="rId11"/>
    <pivotCache cacheId="3450" r:id="rId12"/>
    <pivotCache cacheId="3453" r:id="rId13"/>
    <pivotCache cacheId="3456" r:id="rId14"/>
    <pivotCache cacheId="3459" r:id="rId15"/>
    <pivotCache cacheId="3462" r:id="rId16"/>
  </pivotCaches>
  <extLst>
    <ext xmlns:x14="http://schemas.microsoft.com/office/spreadsheetml/2009/9/main" uri="{876F7934-8845-4945-9796-88D515C7AA90}">
      <x14:pivotCaches>
        <pivotCache cacheId="8"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d116edf-76cb-4c95-95f5-0b00eee95cae" name="Hospital Emergency Room Data" connection="Query - Hospital Emergency Room Data"/>
          <x15:modelTable id="Calendar_Table_d13a83f1-d296-48ad-82bc-7d4772c632e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6" i="1" l="1"/>
  <c r="B55" i="1"/>
  <c r="A55" i="1"/>
  <c r="C56" i="1"/>
  <c r="C55" i="1"/>
  <c r="A5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C66F67-1B18-43B5-AA9A-272C26FE69D8}" name="Query - Calendar_Table" description="Connection to the 'Calendar_Table' query in the workbook." type="100" refreshedVersion="8" minRefreshableVersion="5">
    <extLst>
      <ext xmlns:x15="http://schemas.microsoft.com/office/spreadsheetml/2010/11/main" uri="{DE250136-89BD-433C-8126-D09CA5730AF9}">
        <x15:connection id="ad7a8a52-f08e-4ea6-a67b-f10cd83ea96d"/>
      </ext>
    </extLst>
  </connection>
  <connection id="2" xr16:uid="{599FAD02-0165-44A0-899F-D9A7B251DDB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f895856-ba0b-4481-9d7e-21326ce13a03"/>
      </ext>
    </extLst>
  </connection>
  <connection id="3" xr16:uid="{BF6306A6-392A-41E6-9B3D-5EC65821951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<sst xmlns="http://schemas.openxmlformats.org/spreadsheetml/2006/main" count="180" uniqueCount="72">
  <si>
    <t>Distinct Count of Patient Id</t>
  </si>
  <si>
    <t>Average of Patient Waittime</t>
  </si>
  <si>
    <t>Average of Patient Satisfaction Score</t>
  </si>
  <si>
    <t>Row Labels</t>
  </si>
  <si>
    <t>Grand Total</t>
  </si>
  <si>
    <t>average time</t>
  </si>
  <si>
    <t>satisfaction score daily trend</t>
  </si>
  <si>
    <t>daily count</t>
  </si>
  <si>
    <t>Count of Patient Admission Flag</t>
  </si>
  <si>
    <t>Admitted</t>
  </si>
  <si>
    <t>Not Admitted</t>
  </si>
  <si>
    <t>Count of Patient Admission Flag2</t>
  </si>
  <si>
    <t xml:space="preserve">   Admission Status</t>
  </si>
  <si>
    <t xml:space="preserve">  %Status</t>
  </si>
  <si>
    <t xml:space="preserve">   No.of Patient</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</si>
  <si>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</si>
  <si>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</si>
  <si>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</si>
  <si>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</si>
  <si>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</si>
  <si>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</si>
  <si>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</si>
  <si>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</si>
  <si>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</si>
  <si>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</si>
  <si>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</si>
  <si>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</si>
  <si>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</si>
  <si>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</si>
  <si>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</si>
  <si>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</si>
  <si>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</si>
  <si>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</si>
  <si>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</si>
  <si>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</si>
  <si>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</si>
  <si>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</si>
  <si>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</si>
  <si>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</si>
  <si>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</si>
  <si>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</si>
  <si>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</si>
  <si>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</si>
  <si>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</si>
  <si>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0-09</t>
  </si>
  <si>
    <t>10-19</t>
  </si>
  <si>
    <t>20-29</t>
  </si>
  <si>
    <t>30-39</t>
  </si>
  <si>
    <t>40-49</t>
  </si>
  <si>
    <t>50-59</t>
  </si>
  <si>
    <t>60-69</t>
  </si>
  <si>
    <t>70-79</t>
  </si>
  <si>
    <t>Count of Age Group</t>
  </si>
  <si>
    <t>age grp wise analysis</t>
  </si>
  <si>
    <t>Ontime</t>
  </si>
  <si>
    <t>Delay</t>
  </si>
  <si>
    <t>Count of Patient attend Status</t>
  </si>
  <si>
    <t>attended status</t>
  </si>
  <si>
    <t>Female</t>
  </si>
  <si>
    <t>Male</t>
  </si>
  <si>
    <t>Count of Patient Gender</t>
  </si>
  <si>
    <t>gender wise</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</si>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</sst>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font>
  </fonts>
  <fills count="6">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2" fontId="0" fillId="0" borderId="0" xfId="0" applyNumberFormat="1" applyAlignment="1">
      <alignment horizontal="left"/>
    </xf>
    <xf numFmtId="0" fontId="1" fillId="4" borderId="0" xfId="0" applyFont="1" applyFill="1" applyAlignment="1">
      <alignment horizontal="center"/>
    </xf>
    <xf numFmtId="0" fontId="1" fillId="4" borderId="0" xfId="0" applyFont="1" applyFill="1"/>
    <xf numFmtId="0" fontId="1" fillId="5" borderId="0" xfId="0" applyFont="1" applyFill="1" applyAlignment="1">
      <alignment horizontal="center"/>
    </xf>
    <xf numFmtId="1" fontId="1" fillId="5" borderId="0" xfId="0" applyNumberFormat="1" applyFont="1" applyFill="1" applyAlignment="1">
      <alignment horizontal="center"/>
    </xf>
    <xf numFmtId="9" fontId="1" fillId="5" borderId="0" xfId="0" applyNumberFormat="1" applyFont="1" applyFill="1" applyAlignment="1">
      <alignment horizontal="center"/>
    </xf>
    <xf numFmtId="0" fontId="1" fillId="5" borderId="0" xfId="0" applyFont="1" applyFill="1"/>
    <xf numFmtId="0" fontId="1" fillId="0" borderId="0" xfId="0" applyFont="1"/>
    <xf numFmtId="0" fontId="0" fillId="0" borderId="0" xfId="0" applyNumberFormat="1"/>
    <xf numFmtId="1" fontId="0" fillId="0" borderId="0" xfId="0" applyNumberFormat="1"/>
  </cellXfs>
  <cellStyles count="1">
    <cellStyle name="Normal" xfId="0" builtinId="0"/>
  </cellStyles>
  <dxfs count="1158">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font>
        <b/>
        <color theme="1"/>
      </font>
      <border>
        <bottom style="thin">
          <color rgb="FF4F81BD"/>
        </bottom>
        <vertical/>
        <horizontal/>
      </border>
    </dxf>
    <dxf>
      <font>
        <sz val="7"/>
        <color theme="1"/>
      </font>
      <fill>
        <patternFill>
          <bgColor theme="0"/>
        </patternFill>
      </fill>
      <border diagonalUp="0" diagonalDown="0">
        <left/>
        <right/>
        <top/>
        <bottom/>
        <vertical/>
        <horizontal/>
      </border>
    </dxf>
  </dxfs>
  <tableStyles count="1" defaultTableStyle="TableStyleMedium2" defaultPivotStyle="PivotStyleLight16">
    <tableStyle name="my style 2" pivot="0" table="0" count="10" xr9:uid="{9473B164-8EF9-4156-B75E-B773FD8CA638}">
      <tableStyleElement type="wholeTable" dxfId="1157"/>
      <tableStyleElement type="headerRow" dxfId="1156"/>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a:lstStyle/>
              <a:p>
                <a:fld id="{0E995AD7-FEFF-4FCD-93DC-01502F84E89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
        <c:dLbl>
          <c:idx val="0"/>
          <c:tx>
            <c:rich>
              <a:bodyPr/>
              <a:lstStyle/>
              <a:p>
                <a:fld id="{09CD3151-7076-4DBF-A0FE-398C9C03FE98}" type="CELLRANGE">
                  <a:rPr lang="en-US"/>
                  <a:pPr/>
                  <a:t>[CELLRANGE]</a:t>
                </a:fld>
                <a:r>
                  <a:rPr lang="en-US" baseline="0"/>
                  <a:t>, </a:t>
                </a:r>
                <a:fld id="{E532DD6B-6815-4BD9-855A-522B1F0DA602}"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1DC426CE-F64E-4230-B227-FF20C13BACCF}"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A082BFE-9911-4852-BFF9-F5491A138B66}"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4.9974570652716828E-2"/>
          <c:y val="0.34872515935508064"/>
          <c:w val="0.95002574836373299"/>
          <c:h val="0.54732510288065839"/>
        </c:manualLayout>
      </c:layout>
      <c:barChart>
        <c:barDir val="bar"/>
        <c:grouping val="clustered"/>
        <c:varyColors val="0"/>
        <c:ser>
          <c:idx val="0"/>
          <c:order val="0"/>
          <c:tx>
            <c:strRef>
              <c:f>'pivot report'!$C$45:$C$46</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report'!$C$45:$C$46</c:f>
              <c:strCache>
                <c:ptCount val="2"/>
                <c:pt idx="0">
                  <c:v>Admitted</c:v>
                </c:pt>
                <c:pt idx="1">
                  <c:v>Not Admitted</c:v>
                </c:pt>
              </c:strCache>
            </c:strRef>
          </c:cat>
          <c:val>
            <c:numRef>
              <c:f>'pivot report'!$C$45:$C$46</c:f>
              <c:numCache>
                <c:formatCode>0.00</c:formatCode>
                <c:ptCount val="2"/>
                <c:pt idx="0">
                  <c:v>224</c:v>
                </c:pt>
                <c:pt idx="1">
                  <c:v>207</c:v>
                </c:pt>
              </c:numCache>
            </c:numRef>
          </c:val>
          <c:extLst>
            <c:ext xmlns:c16="http://schemas.microsoft.com/office/drawing/2014/chart" uri="{C3380CC4-5D6E-409C-BE32-E72D297353CC}">
              <c16:uniqueId val="{0000000D-1C00-47CE-9DA4-BC6CE65120B3}"/>
            </c:ext>
          </c:extLst>
        </c:ser>
        <c:ser>
          <c:idx val="1"/>
          <c:order val="1"/>
          <c:tx>
            <c:strRef>
              <c:f>'pivot report'!$C$45:$C$46</c:f>
              <c:strCache>
                <c:ptCount val="1"/>
                <c:pt idx="0">
                  <c:v>Count of Patient Admission Flag2</c:v>
                </c:pt>
              </c:strCache>
            </c:strRef>
          </c:tx>
          <c:spPr>
            <a:solidFill>
              <a:schemeClr val="accent2"/>
            </a:solidFill>
            <a:ln>
              <a:noFill/>
            </a:ln>
            <a:effectLst/>
          </c:spPr>
          <c:invertIfNegative val="0"/>
          <c:cat>
            <c:strRef>
              <c:f>'pivot report'!$C$45:$C$46</c:f>
              <c:strCache>
                <c:ptCount val="2"/>
                <c:pt idx="0">
                  <c:v>Admitted</c:v>
                </c:pt>
                <c:pt idx="1">
                  <c:v>Not Admitted</c:v>
                </c:pt>
              </c:strCache>
            </c:strRef>
          </c:cat>
          <c:val>
            <c:numRef>
              <c:f>'pivot report'!$C$45:$C$46</c:f>
              <c:numCache>
                <c:formatCode>0.00%</c:formatCode>
                <c:ptCount val="2"/>
                <c:pt idx="0">
                  <c:v>0.51972157772621808</c:v>
                </c:pt>
                <c:pt idx="1">
                  <c:v>0.48027842227378192</c:v>
                </c:pt>
              </c:numCache>
            </c:numRef>
          </c:val>
          <c:extLst>
            <c:ext xmlns:c16="http://schemas.microsoft.com/office/drawing/2014/chart" uri="{C3380CC4-5D6E-409C-BE32-E72D297353CC}">
              <c16:uniqueId val="{0000000E-1C00-47CE-9DA4-BC6CE65120B3}"/>
            </c:ext>
          </c:extLst>
        </c:ser>
        <c:dLbls>
          <c:showLegendKey val="0"/>
          <c:showVal val="0"/>
          <c:showCatName val="0"/>
          <c:showSerName val="0"/>
          <c:showPercent val="0"/>
          <c:showBubbleSize val="0"/>
        </c:dLbls>
        <c:gapWidth val="0"/>
        <c:axId val="783117168"/>
        <c:axId val="783117648"/>
      </c:barChart>
      <c:catAx>
        <c:axId val="783117168"/>
        <c:scaling>
          <c:orientation val="minMax"/>
        </c:scaling>
        <c:delete val="1"/>
        <c:axPos val="l"/>
        <c:numFmt formatCode="General" sourceLinked="1"/>
        <c:majorTickMark val="none"/>
        <c:minorTickMark val="none"/>
        <c:tickLblPos val="nextTo"/>
        <c:crossAx val="783117648"/>
        <c:crosses val="autoZero"/>
        <c:auto val="1"/>
        <c:lblAlgn val="ctr"/>
        <c:lblOffset val="100"/>
        <c:noMultiLvlLbl val="0"/>
      </c:catAx>
      <c:valAx>
        <c:axId val="783117648"/>
        <c:scaling>
          <c:orientation val="minMax"/>
        </c:scaling>
        <c:delete val="1"/>
        <c:axPos val="b"/>
        <c:numFmt formatCode="0.00" sourceLinked="1"/>
        <c:majorTickMark val="none"/>
        <c:minorTickMark val="none"/>
        <c:tickLblPos val="nextTo"/>
        <c:crossAx val="7831171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report!PivotTable9</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44366006712123E-2"/>
          <c:y val="1.3406588661127372E-2"/>
          <c:w val="0.89394818717170854"/>
          <c:h val="0.98655219049525855"/>
        </c:manualLayout>
      </c:layout>
      <c:areaChart>
        <c:grouping val="standard"/>
        <c:varyColors val="0"/>
        <c:ser>
          <c:idx val="0"/>
          <c:order val="0"/>
          <c:tx>
            <c:strRef>
              <c:f>'pivot report'!$D$4</c:f>
              <c:strCache>
                <c:ptCount val="1"/>
                <c:pt idx="0">
                  <c:v>Total</c:v>
                </c:pt>
              </c:strCache>
            </c:strRef>
          </c:tx>
          <c:spPr>
            <a:solidFill>
              <a:schemeClr val="accent5"/>
            </a:solidFill>
            <a:ln w="25400">
              <a:noFill/>
            </a:ln>
            <a:effectLst/>
          </c:spPr>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6-8C34-4328-BFFD-98AC4A8B7972}"/>
            </c:ext>
          </c:extLst>
        </c:ser>
        <c:dLbls>
          <c:showLegendKey val="0"/>
          <c:showVal val="0"/>
          <c:showCatName val="0"/>
          <c:showSerName val="0"/>
          <c:showPercent val="0"/>
          <c:showBubbleSize val="0"/>
        </c:dLbls>
        <c:axId val="1596716335"/>
        <c:axId val="1596717775"/>
      </c:areaChart>
      <c:catAx>
        <c:axId val="1596716335"/>
        <c:scaling>
          <c:orientation val="minMax"/>
        </c:scaling>
        <c:delete val="1"/>
        <c:axPos val="b"/>
        <c:numFmt formatCode="General" sourceLinked="1"/>
        <c:majorTickMark val="out"/>
        <c:minorTickMark val="none"/>
        <c:tickLblPos val="nextTo"/>
        <c:crossAx val="1596717775"/>
        <c:crosses val="autoZero"/>
        <c:auto val="1"/>
        <c:lblAlgn val="ctr"/>
        <c:lblOffset val="100"/>
        <c:noMultiLvlLbl val="0"/>
      </c:catAx>
      <c:valAx>
        <c:axId val="1596717775"/>
        <c:scaling>
          <c:orientation val="minMax"/>
        </c:scaling>
        <c:delete val="1"/>
        <c:axPos val="l"/>
        <c:numFmt formatCode="General" sourceLinked="1"/>
        <c:majorTickMark val="none"/>
        <c:minorTickMark val="none"/>
        <c:tickLblPos val="nextTo"/>
        <c:crossAx val="15967163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report!PivotTable11</c:name>
    <c:fmtId val="1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83332532512645E-3"/>
          <c:y val="9.9848890309009328E-2"/>
          <c:w val="0.93888888888888888"/>
          <c:h val="0.89814814814814814"/>
        </c:manualLayout>
      </c:layout>
      <c:areaChart>
        <c:grouping val="standard"/>
        <c:varyColors val="0"/>
        <c:ser>
          <c:idx val="0"/>
          <c:order val="0"/>
          <c:tx>
            <c:strRef>
              <c:f>'pivot report'!$J$7</c:f>
              <c:strCache>
                <c:ptCount val="1"/>
                <c:pt idx="0">
                  <c:v>Total</c:v>
                </c:pt>
              </c:strCache>
            </c:strRef>
          </c:tx>
          <c:spPr>
            <a:solidFill>
              <a:schemeClr val="accent5"/>
            </a:solidFill>
            <a:ln w="25400">
              <a:noFill/>
            </a:ln>
            <a:effectLst/>
          </c:spPr>
          <c:cat>
            <c:strRef>
              <c:f>'pivot report'!$I$8:$I$37</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report'!$J$8:$J$37</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6-3A73-4D59-BA31-0EBBF7B91408}"/>
            </c:ext>
          </c:extLst>
        </c:ser>
        <c:dLbls>
          <c:showLegendKey val="0"/>
          <c:showVal val="0"/>
          <c:showCatName val="0"/>
          <c:showSerName val="0"/>
          <c:showPercent val="0"/>
          <c:showBubbleSize val="0"/>
        </c:dLbls>
        <c:axId val="1569759375"/>
        <c:axId val="1569768015"/>
      </c:areaChart>
      <c:catAx>
        <c:axId val="1569759375"/>
        <c:scaling>
          <c:orientation val="minMax"/>
        </c:scaling>
        <c:delete val="1"/>
        <c:axPos val="b"/>
        <c:numFmt formatCode="General" sourceLinked="1"/>
        <c:majorTickMark val="out"/>
        <c:minorTickMark val="none"/>
        <c:tickLblPos val="nextTo"/>
        <c:crossAx val="1569768015"/>
        <c:crosses val="autoZero"/>
        <c:auto val="1"/>
        <c:lblAlgn val="ctr"/>
        <c:lblOffset val="100"/>
        <c:noMultiLvlLbl val="0"/>
      </c:catAx>
      <c:valAx>
        <c:axId val="1569768015"/>
        <c:scaling>
          <c:orientation val="minMax"/>
        </c:scaling>
        <c:delete val="1"/>
        <c:axPos val="l"/>
        <c:numFmt formatCode="0.00" sourceLinked="1"/>
        <c:majorTickMark val="none"/>
        <c:minorTickMark val="none"/>
        <c:tickLblPos val="nextTo"/>
        <c:crossAx val="1569759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 project.xlsx]pivot report!PivotTable12</c:name>
    <c:fmtId val="2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999999999999989"/>
        </c:manualLayout>
      </c:layout>
      <c:areaChart>
        <c:grouping val="standard"/>
        <c:varyColors val="0"/>
        <c:ser>
          <c:idx val="0"/>
          <c:order val="0"/>
          <c:tx>
            <c:strRef>
              <c:f>'pivot report'!$M$7</c:f>
              <c:strCache>
                <c:ptCount val="1"/>
                <c:pt idx="0">
                  <c:v>Total</c:v>
                </c:pt>
              </c:strCache>
            </c:strRef>
          </c:tx>
          <c:spPr>
            <a:solidFill>
              <a:schemeClr val="accent5"/>
            </a:solidFill>
            <a:ln w="25400">
              <a:noFill/>
            </a:ln>
            <a:effectLst/>
          </c:spPr>
          <c:cat>
            <c:strRef>
              <c:f>'pivot report'!$L$8:$L$36</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report'!$M$8:$M$36</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6-2F13-4F39-82EC-C394B3420A04}"/>
            </c:ext>
          </c:extLst>
        </c:ser>
        <c:dLbls>
          <c:showLegendKey val="0"/>
          <c:showVal val="0"/>
          <c:showCatName val="0"/>
          <c:showSerName val="0"/>
          <c:showPercent val="0"/>
          <c:showBubbleSize val="0"/>
        </c:dLbls>
        <c:axId val="187210144"/>
        <c:axId val="187202944"/>
      </c:areaChart>
      <c:catAx>
        <c:axId val="187210144"/>
        <c:scaling>
          <c:orientation val="minMax"/>
        </c:scaling>
        <c:delete val="1"/>
        <c:axPos val="b"/>
        <c:numFmt formatCode="General" sourceLinked="1"/>
        <c:majorTickMark val="out"/>
        <c:minorTickMark val="none"/>
        <c:tickLblPos val="nextTo"/>
        <c:crossAx val="187202944"/>
        <c:crosses val="autoZero"/>
        <c:auto val="1"/>
        <c:lblAlgn val="ctr"/>
        <c:lblOffset val="100"/>
        <c:noMultiLvlLbl val="0"/>
      </c:catAx>
      <c:valAx>
        <c:axId val="187202944"/>
        <c:scaling>
          <c:orientation val="minMax"/>
        </c:scaling>
        <c:delete val="1"/>
        <c:axPos val="l"/>
        <c:numFmt formatCode="0.00" sourceLinked="1"/>
        <c:majorTickMark val="none"/>
        <c:minorTickMark val="none"/>
        <c:tickLblPos val="nextTo"/>
        <c:crossAx val="1872101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report!PivotTable3</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6076214800562833E-17"/>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47162663348985E-3"/>
          <c:y val="0.12879364332719984"/>
          <c:w val="0.97948920118246419"/>
          <c:h val="0.44740757137652587"/>
        </c:manualLayout>
      </c:layout>
      <c:barChart>
        <c:barDir val="col"/>
        <c:grouping val="clustered"/>
        <c:varyColors val="0"/>
        <c:ser>
          <c:idx val="0"/>
          <c:order val="0"/>
          <c:tx>
            <c:strRef>
              <c:f>'pivot report'!$B$60</c:f>
              <c:strCache>
                <c:ptCount val="1"/>
                <c:pt idx="0">
                  <c:v>Total</c:v>
                </c:pt>
              </c:strCache>
            </c:strRef>
          </c:tx>
          <c:spPr>
            <a:solidFill>
              <a:schemeClr val="accent1"/>
            </a:solidFill>
            <a:ln>
              <a:noFill/>
            </a:ln>
            <a:effectLst/>
          </c:spPr>
          <c:invertIfNegative val="0"/>
          <c:dLbls>
            <c:dLbl>
              <c:idx val="4"/>
              <c:layout>
                <c:manualLayout>
                  <c:x val="6.6076214800562833E-17"/>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report'!$A$61:$A$69</c:f>
              <c:strCache>
                <c:ptCount val="8"/>
                <c:pt idx="0">
                  <c:v>0-09</c:v>
                </c:pt>
                <c:pt idx="1">
                  <c:v>10-19</c:v>
                </c:pt>
                <c:pt idx="2">
                  <c:v>20-29</c:v>
                </c:pt>
                <c:pt idx="3">
                  <c:v>30-39</c:v>
                </c:pt>
                <c:pt idx="4">
                  <c:v>40-49</c:v>
                </c:pt>
                <c:pt idx="5">
                  <c:v>50-59</c:v>
                </c:pt>
                <c:pt idx="6">
                  <c:v>60-69</c:v>
                </c:pt>
                <c:pt idx="7">
                  <c:v>70-79</c:v>
                </c:pt>
              </c:strCache>
            </c:strRef>
          </c:cat>
          <c:val>
            <c:numRef>
              <c:f>'pivot report'!$B$61:$B$69</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8-6631-411E-9183-52AD0A4BD3C6}"/>
            </c:ext>
          </c:extLst>
        </c:ser>
        <c:dLbls>
          <c:showLegendKey val="0"/>
          <c:showVal val="0"/>
          <c:showCatName val="0"/>
          <c:showSerName val="0"/>
          <c:showPercent val="0"/>
          <c:showBubbleSize val="0"/>
        </c:dLbls>
        <c:gapWidth val="219"/>
        <c:overlap val="-27"/>
        <c:axId val="1627602799"/>
        <c:axId val="1627590319"/>
      </c:barChart>
      <c:catAx>
        <c:axId val="162760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7590319"/>
        <c:crosses val="autoZero"/>
        <c:auto val="1"/>
        <c:lblAlgn val="ctr"/>
        <c:lblOffset val="100"/>
        <c:noMultiLvlLbl val="0"/>
      </c:catAx>
      <c:valAx>
        <c:axId val="1627590319"/>
        <c:scaling>
          <c:orientation val="minMax"/>
        </c:scaling>
        <c:delete val="1"/>
        <c:axPos val="l"/>
        <c:numFmt formatCode="0" sourceLinked="1"/>
        <c:majorTickMark val="none"/>
        <c:minorTickMark val="none"/>
        <c:tickLblPos val="nextTo"/>
        <c:crossAx val="162760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5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2051339677634582"/>
              <c:y val="-6.422313012336335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9375496014327348"/>
              <c:y val="6.4222282673636041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159286441689784"/>
          <c:y val="0.15095452500019069"/>
          <c:w val="0.56985145907223378"/>
          <c:h val="0.68760630197515105"/>
        </c:manualLayout>
      </c:layout>
      <c:pieChart>
        <c:varyColors val="1"/>
        <c:ser>
          <c:idx val="0"/>
          <c:order val="0"/>
          <c:tx>
            <c:strRef>
              <c:f>'pivot report'!$B$74</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layout>
                <c:manualLayout>
                  <c:x val="-0.22051339677634582"/>
                  <c:y val="-6.4223130123363351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19375496014327348"/>
                  <c:y val="6.4222282673636041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Delay</c:v>
                </c:pt>
                <c:pt idx="1">
                  <c:v>Ontime</c:v>
                </c:pt>
              </c:strCache>
            </c:strRef>
          </c:cat>
          <c:val>
            <c:numRef>
              <c:f>'pivot report'!$B$75:$B$77</c:f>
              <c:numCache>
                <c:formatCode>0</c:formatCode>
                <c:ptCount val="2"/>
                <c:pt idx="0">
                  <c:v>285</c:v>
                </c:pt>
                <c:pt idx="1">
                  <c:v>146</c:v>
                </c:pt>
              </c:numCache>
            </c:numRef>
          </c:val>
          <c:extLst>
            <c:ext xmlns:c16="http://schemas.microsoft.com/office/drawing/2014/chart" uri="{C3380CC4-5D6E-409C-BE32-E72D297353CC}">
              <c16:uniqueId val="{0000000B-34E2-4062-802B-58D7D6C1F1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7869157565754821"/>
          <c:y val="4.8084297519260417E-3"/>
          <c:w val="0.48820451592513259"/>
          <c:h val="0.1731475384551499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report!PivotTable5</c:name>
    <c:fmtId val="5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3641508593854357"/>
          <c:y val="0.15851377051126234"/>
          <c:w val="0.67967329369528695"/>
          <c:h val="0.72086591911476872"/>
        </c:manualLayout>
      </c:layout>
      <c:doughnutChart>
        <c:varyColors val="1"/>
        <c:ser>
          <c:idx val="0"/>
          <c:order val="0"/>
          <c:tx>
            <c:strRef>
              <c:f>'pivot report'!$B$81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report'!$A$82:$A$84</c:f>
              <c:strCache>
                <c:ptCount val="2"/>
                <c:pt idx="0">
                  <c:v>Female</c:v>
                </c:pt>
                <c:pt idx="1">
                  <c:v>Male</c:v>
                </c:pt>
              </c:strCache>
            </c:strRef>
          </c:cat>
          <c:val>
            <c:numRef>
              <c:f>'pivot report'!$B$82:$B$84</c:f>
              <c:numCache>
                <c:formatCode>0.00</c:formatCode>
                <c:ptCount val="2"/>
                <c:pt idx="0">
                  <c:v>194</c:v>
                </c:pt>
                <c:pt idx="1">
                  <c:v>237</c:v>
                </c:pt>
              </c:numCache>
            </c:numRef>
          </c:val>
          <c:extLst>
            <c:ext xmlns:c16="http://schemas.microsoft.com/office/drawing/2014/chart" uri="{C3380CC4-5D6E-409C-BE32-E72D297353CC}">
              <c16:uniqueId val="{0000000B-79BB-44BF-B26E-9B29BBDEB61C}"/>
            </c:ext>
          </c:extLst>
        </c:ser>
        <c:dLbls>
          <c:showLegendKey val="0"/>
          <c:showVal val="0"/>
          <c:showCatName val="0"/>
          <c:showSerName val="0"/>
          <c:showPercent val="1"/>
          <c:showBubbleSize val="0"/>
          <c:showLeaderLines val="1"/>
        </c:dLbls>
        <c:firstSliceAng val="0"/>
        <c:holeSize val="49"/>
      </c:doughnutChart>
      <c:spPr>
        <a:noFill/>
        <a:ln>
          <a:noFill/>
        </a:ln>
        <a:effectLst/>
      </c:spPr>
    </c:plotArea>
    <c:legend>
      <c:legendPos val="r"/>
      <c:layout>
        <c:manualLayout>
          <c:xMode val="edge"/>
          <c:yMode val="edge"/>
          <c:x val="0.19762729464180989"/>
          <c:y val="1.7572399154437033E-3"/>
          <c:w val="0.54983558877590943"/>
          <c:h val="0.16608961923568763"/>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report!PivotTable6</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37060077794964"/>
          <c:y val="8.4388241727792773E-2"/>
          <c:w val="0.64237076775919932"/>
          <c:h val="0.7637129231621802"/>
        </c:manualLayout>
      </c:layout>
      <c:barChart>
        <c:barDir val="bar"/>
        <c:grouping val="clustered"/>
        <c:varyColors val="0"/>
        <c:ser>
          <c:idx val="0"/>
          <c:order val="0"/>
          <c:tx>
            <c:strRef>
              <c:f>'pivot report'!$B$88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report'!$A$89:$A$97</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report'!$B$89:$B$97</c:f>
              <c:numCache>
                <c:formatCode>0</c:formatCode>
                <c:ptCount val="8"/>
                <c:pt idx="0">
                  <c:v>12</c:v>
                </c:pt>
                <c:pt idx="1">
                  <c:v>6</c:v>
                </c:pt>
                <c:pt idx="2">
                  <c:v>89</c:v>
                </c:pt>
                <c:pt idx="3">
                  <c:v>6</c:v>
                </c:pt>
                <c:pt idx="4">
                  <c:v>252</c:v>
                </c:pt>
                <c:pt idx="5">
                  <c:v>46</c:v>
                </c:pt>
                <c:pt idx="6">
                  <c:v>14</c:v>
                </c:pt>
                <c:pt idx="7">
                  <c:v>6</c:v>
                </c:pt>
              </c:numCache>
            </c:numRef>
          </c:val>
          <c:extLst>
            <c:ext xmlns:c16="http://schemas.microsoft.com/office/drawing/2014/chart" uri="{C3380CC4-5D6E-409C-BE32-E72D297353CC}">
              <c16:uniqueId val="{00000007-28BD-4146-8BAF-E5070124D096}"/>
            </c:ext>
          </c:extLst>
        </c:ser>
        <c:dLbls>
          <c:showLegendKey val="0"/>
          <c:showVal val="0"/>
          <c:showCatName val="0"/>
          <c:showSerName val="0"/>
          <c:showPercent val="0"/>
          <c:showBubbleSize val="0"/>
        </c:dLbls>
        <c:gapWidth val="53"/>
        <c:axId val="342535888"/>
        <c:axId val="342533008"/>
      </c:barChart>
      <c:catAx>
        <c:axId val="34253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42533008"/>
        <c:crosses val="autoZero"/>
        <c:auto val="1"/>
        <c:lblAlgn val="ctr"/>
        <c:lblOffset val="100"/>
        <c:noMultiLvlLbl val="0"/>
      </c:catAx>
      <c:valAx>
        <c:axId val="342533008"/>
        <c:scaling>
          <c:orientation val="minMax"/>
        </c:scaling>
        <c:delete val="1"/>
        <c:axPos val="b"/>
        <c:numFmt formatCode="0" sourceLinked="1"/>
        <c:majorTickMark val="none"/>
        <c:minorTickMark val="none"/>
        <c:tickLblPos val="nextTo"/>
        <c:crossAx val="34253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s>
    <c:plotArea>
      <c:layout>
        <c:manualLayout>
          <c:layoutTarget val="inner"/>
          <c:xMode val="edge"/>
          <c:yMode val="edge"/>
          <c:x val="6.5727760274814501E-2"/>
          <c:y val="0.18790846046746298"/>
          <c:w val="0.88497641951907469"/>
          <c:h val="0.338403902577601"/>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report'!$C$5:$C$34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report'!$D$5:$D$34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5-28B0-4807-BDC4-634223D16942}"/>
            </c:ext>
          </c:extLst>
        </c:ser>
        <c:dLbls>
          <c:showLegendKey val="0"/>
          <c:showVal val="0"/>
          <c:showCatName val="0"/>
          <c:showSerName val="0"/>
          <c:showPercent val="0"/>
          <c:showBubbleSize val="0"/>
        </c:dLbls>
        <c:axId val="1596716335"/>
        <c:axId val="1596717775"/>
      </c:areaChart>
      <c:catAx>
        <c:axId val="1596716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596717775"/>
        <c:crosses val="autoZero"/>
        <c:auto val="1"/>
        <c:lblAlgn val="ctr"/>
        <c:lblOffset val="100"/>
        <c:noMultiLvlLbl val="0"/>
      </c:catAx>
      <c:valAx>
        <c:axId val="1596717775"/>
        <c:scaling>
          <c:orientation val="minMax"/>
        </c:scaling>
        <c:delete val="1"/>
        <c:axPos val="l"/>
        <c:numFmt formatCode="General" sourceLinked="1"/>
        <c:majorTickMark val="none"/>
        <c:minorTickMark val="none"/>
        <c:tickLblPos val="nextTo"/>
        <c:crossAx val="15967163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52</xdr:row>
      <xdr:rowOff>175260</xdr:rowOff>
    </xdr:from>
    <xdr:to>
      <xdr:col>3</xdr:col>
      <xdr:colOff>1325880</xdr:colOff>
      <xdr:row>56</xdr:row>
      <xdr:rowOff>22860</xdr:rowOff>
    </xdr:to>
    <xdr:graphicFrame macro="">
      <xdr:nvGraphicFramePr>
        <xdr:cNvPr id="2" name="Chart 1">
          <a:extLst>
            <a:ext uri="{FF2B5EF4-FFF2-40B4-BE49-F238E27FC236}">
              <a16:creationId xmlns:a16="http://schemas.microsoft.com/office/drawing/2014/main" id="{50989BB1-50F0-DFE8-00C1-513BBB011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39190</xdr:colOff>
      <xdr:row>0</xdr:row>
      <xdr:rowOff>47897</xdr:rowOff>
    </xdr:from>
    <xdr:to>
      <xdr:col>5</xdr:col>
      <xdr:colOff>256904</xdr:colOff>
      <xdr:row>2</xdr:row>
      <xdr:rowOff>165463</xdr:rowOff>
    </xdr:to>
    <xdr:sp macro="" textlink="">
      <xdr:nvSpPr>
        <xdr:cNvPr id="3" name="Rectangle: Rounded Corners 2">
          <a:extLst>
            <a:ext uri="{FF2B5EF4-FFF2-40B4-BE49-F238E27FC236}">
              <a16:creationId xmlns:a16="http://schemas.microsoft.com/office/drawing/2014/main" id="{48443B42-93B5-1994-021D-58AA2742E6AA}"/>
            </a:ext>
          </a:extLst>
        </xdr:cNvPr>
        <xdr:cNvSpPr/>
      </xdr:nvSpPr>
      <xdr:spPr>
        <a:xfrm>
          <a:off x="39190" y="47897"/>
          <a:ext cx="3265714" cy="483326"/>
        </a:xfrm>
        <a:prstGeom prst="roundRect">
          <a:avLst>
            <a:gd name="adj" fmla="val 632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291738</xdr:colOff>
      <xdr:row>0</xdr:row>
      <xdr:rowOff>39189</xdr:rowOff>
    </xdr:from>
    <xdr:to>
      <xdr:col>6</xdr:col>
      <xdr:colOff>596537</xdr:colOff>
      <xdr:row>2</xdr:row>
      <xdr:rowOff>161109</xdr:rowOff>
    </xdr:to>
    <xdr:sp macro="" textlink="">
      <xdr:nvSpPr>
        <xdr:cNvPr id="11" name="Rectangle: Rounded Corners 10">
          <a:extLst>
            <a:ext uri="{FF2B5EF4-FFF2-40B4-BE49-F238E27FC236}">
              <a16:creationId xmlns:a16="http://schemas.microsoft.com/office/drawing/2014/main" id="{90758320-2BAD-B64B-BAA3-C27170BD6C38}"/>
            </a:ext>
          </a:extLst>
        </xdr:cNvPr>
        <xdr:cNvSpPr/>
      </xdr:nvSpPr>
      <xdr:spPr>
        <a:xfrm>
          <a:off x="3339738" y="39189"/>
          <a:ext cx="914399" cy="487680"/>
        </a:xfrm>
        <a:prstGeom prst="roundRect">
          <a:avLst>
            <a:gd name="adj" fmla="val 69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43543</xdr:colOff>
      <xdr:row>0</xdr:row>
      <xdr:rowOff>34835</xdr:rowOff>
    </xdr:from>
    <xdr:to>
      <xdr:col>9</xdr:col>
      <xdr:colOff>82730</xdr:colOff>
      <xdr:row>6</xdr:row>
      <xdr:rowOff>130629</xdr:rowOff>
    </xdr:to>
    <xdr:sp macro="" textlink="">
      <xdr:nvSpPr>
        <xdr:cNvPr id="12" name="Rectangle: Rounded Corners 11">
          <a:extLst>
            <a:ext uri="{FF2B5EF4-FFF2-40B4-BE49-F238E27FC236}">
              <a16:creationId xmlns:a16="http://schemas.microsoft.com/office/drawing/2014/main" id="{F410C930-9EB4-F851-451D-6AAFA3B51D6A}"/>
            </a:ext>
          </a:extLst>
        </xdr:cNvPr>
        <xdr:cNvSpPr/>
      </xdr:nvSpPr>
      <xdr:spPr>
        <a:xfrm>
          <a:off x="4310743" y="34835"/>
          <a:ext cx="1258387" cy="1193074"/>
        </a:xfrm>
        <a:prstGeom prst="roundRect">
          <a:avLst>
            <a:gd name="adj" fmla="val 5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117567</xdr:colOff>
      <xdr:row>0</xdr:row>
      <xdr:rowOff>43544</xdr:rowOff>
    </xdr:from>
    <xdr:to>
      <xdr:col>11</xdr:col>
      <xdr:colOff>156754</xdr:colOff>
      <xdr:row>6</xdr:row>
      <xdr:rowOff>126274</xdr:rowOff>
    </xdr:to>
    <xdr:sp macro="" textlink="">
      <xdr:nvSpPr>
        <xdr:cNvPr id="13" name="Rectangle: Rounded Corners 12">
          <a:extLst>
            <a:ext uri="{FF2B5EF4-FFF2-40B4-BE49-F238E27FC236}">
              <a16:creationId xmlns:a16="http://schemas.microsoft.com/office/drawing/2014/main" id="{08251F4A-67DC-39E3-F8EE-537A749D732D}"/>
            </a:ext>
          </a:extLst>
        </xdr:cNvPr>
        <xdr:cNvSpPr/>
      </xdr:nvSpPr>
      <xdr:spPr>
        <a:xfrm>
          <a:off x="5603967" y="43544"/>
          <a:ext cx="1258387" cy="1180010"/>
        </a:xfrm>
        <a:prstGeom prst="roundRect">
          <a:avLst>
            <a:gd name="adj" fmla="val 47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39190</xdr:colOff>
      <xdr:row>3</xdr:row>
      <xdr:rowOff>8709</xdr:rowOff>
    </xdr:from>
    <xdr:to>
      <xdr:col>1</xdr:col>
      <xdr:colOff>43544</xdr:colOff>
      <xdr:row>14</xdr:row>
      <xdr:rowOff>178527</xdr:rowOff>
    </xdr:to>
    <xdr:sp macro="" textlink="">
      <xdr:nvSpPr>
        <xdr:cNvPr id="16" name="Rectangle: Rounded Corners 15">
          <a:extLst>
            <a:ext uri="{FF2B5EF4-FFF2-40B4-BE49-F238E27FC236}">
              <a16:creationId xmlns:a16="http://schemas.microsoft.com/office/drawing/2014/main" id="{9666E4BA-D674-7485-8EF9-6C7C98C03E8A}"/>
            </a:ext>
          </a:extLst>
        </xdr:cNvPr>
        <xdr:cNvSpPr/>
      </xdr:nvSpPr>
      <xdr:spPr>
        <a:xfrm>
          <a:off x="39190" y="557349"/>
          <a:ext cx="613954" cy="2181498"/>
        </a:xfrm>
        <a:prstGeom prst="roundRect">
          <a:avLst>
            <a:gd name="adj" fmla="val 98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131815</xdr:colOff>
      <xdr:row>3</xdr:row>
      <xdr:rowOff>13064</xdr:rowOff>
    </xdr:from>
    <xdr:to>
      <xdr:col>6</xdr:col>
      <xdr:colOff>596539</xdr:colOff>
      <xdr:row>6</xdr:row>
      <xdr:rowOff>134983</xdr:rowOff>
    </xdr:to>
    <xdr:grpSp>
      <xdr:nvGrpSpPr>
        <xdr:cNvPr id="54" name="Group 53">
          <a:extLst>
            <a:ext uri="{FF2B5EF4-FFF2-40B4-BE49-F238E27FC236}">
              <a16:creationId xmlns:a16="http://schemas.microsoft.com/office/drawing/2014/main" id="{8B2B5D78-95F2-3A43-CBEF-1502D2D07741}"/>
            </a:ext>
          </a:extLst>
        </xdr:cNvPr>
        <xdr:cNvGrpSpPr/>
      </xdr:nvGrpSpPr>
      <xdr:grpSpPr>
        <a:xfrm>
          <a:off x="741415" y="561704"/>
          <a:ext cx="3512724" cy="670559"/>
          <a:chOff x="737058" y="561704"/>
          <a:chExt cx="3525787" cy="670559"/>
        </a:xfrm>
      </xdr:grpSpPr>
      <xdr:sp macro="" textlink="">
        <xdr:nvSpPr>
          <xdr:cNvPr id="30" name="Rectangle: Rounded Corners 29">
            <a:extLst>
              <a:ext uri="{FF2B5EF4-FFF2-40B4-BE49-F238E27FC236}">
                <a16:creationId xmlns:a16="http://schemas.microsoft.com/office/drawing/2014/main" id="{15EE22B5-8609-6CEF-9338-444DDBF8B0FC}"/>
              </a:ext>
            </a:extLst>
          </xdr:cNvPr>
          <xdr:cNvSpPr/>
        </xdr:nvSpPr>
        <xdr:spPr>
          <a:xfrm>
            <a:off x="737058" y="566057"/>
            <a:ext cx="1155772" cy="666206"/>
          </a:xfrm>
          <a:prstGeom prst="roundRect">
            <a:avLst>
              <a:gd name="adj" fmla="val 91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0B296C9D-CB78-CAB6-C555-8C5B2E2FDF51}"/>
              </a:ext>
            </a:extLst>
          </xdr:cNvPr>
          <xdr:cNvSpPr/>
        </xdr:nvSpPr>
        <xdr:spPr>
          <a:xfrm>
            <a:off x="1922064" y="561704"/>
            <a:ext cx="1155772" cy="670559"/>
          </a:xfrm>
          <a:prstGeom prst="roundRect">
            <a:avLst>
              <a:gd name="adj" fmla="val 91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ADA5AFA4-33FA-8620-8289-FB9865A44F8D}"/>
              </a:ext>
            </a:extLst>
          </xdr:cNvPr>
          <xdr:cNvSpPr/>
        </xdr:nvSpPr>
        <xdr:spPr>
          <a:xfrm>
            <a:off x="3107073" y="566057"/>
            <a:ext cx="1155772" cy="661852"/>
          </a:xfrm>
          <a:prstGeom prst="roundRect">
            <a:avLst>
              <a:gd name="adj" fmla="val 91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134982</xdr:colOff>
      <xdr:row>9</xdr:row>
      <xdr:rowOff>65314</xdr:rowOff>
    </xdr:from>
    <xdr:to>
      <xdr:col>6</xdr:col>
      <xdr:colOff>596537</xdr:colOff>
      <xdr:row>15</xdr:row>
      <xdr:rowOff>2</xdr:rowOff>
    </xdr:to>
    <xdr:sp macro="" textlink="">
      <xdr:nvSpPr>
        <xdr:cNvPr id="38" name="Rectangle: Rounded Corners 37">
          <a:extLst>
            <a:ext uri="{FF2B5EF4-FFF2-40B4-BE49-F238E27FC236}">
              <a16:creationId xmlns:a16="http://schemas.microsoft.com/office/drawing/2014/main" id="{19573B45-19A2-F1D8-C322-CFDF249A41CE}"/>
            </a:ext>
          </a:extLst>
        </xdr:cNvPr>
        <xdr:cNvSpPr/>
      </xdr:nvSpPr>
      <xdr:spPr>
        <a:xfrm>
          <a:off x="744582" y="1711234"/>
          <a:ext cx="3509555" cy="1031968"/>
        </a:xfrm>
        <a:prstGeom prst="roundRect">
          <a:avLst>
            <a:gd name="adj" fmla="val 45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39189</xdr:colOff>
      <xdr:row>6</xdr:row>
      <xdr:rowOff>165464</xdr:rowOff>
    </xdr:from>
    <xdr:to>
      <xdr:col>11</xdr:col>
      <xdr:colOff>156754</xdr:colOff>
      <xdr:row>14</xdr:row>
      <xdr:rowOff>178526</xdr:rowOff>
    </xdr:to>
    <xdr:sp macro="" textlink="">
      <xdr:nvSpPr>
        <xdr:cNvPr id="52" name="Rectangle: Rounded Corners 51">
          <a:extLst>
            <a:ext uri="{FF2B5EF4-FFF2-40B4-BE49-F238E27FC236}">
              <a16:creationId xmlns:a16="http://schemas.microsoft.com/office/drawing/2014/main" id="{186F5A8A-328C-3A97-475F-9BB552AB3BB7}"/>
            </a:ext>
          </a:extLst>
        </xdr:cNvPr>
        <xdr:cNvSpPr/>
      </xdr:nvSpPr>
      <xdr:spPr>
        <a:xfrm>
          <a:off x="4306389" y="1269050"/>
          <a:ext cx="2555965" cy="1484510"/>
        </a:xfrm>
        <a:prstGeom prst="roundRect">
          <a:avLst>
            <a:gd name="adj" fmla="val 47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217715</xdr:colOff>
      <xdr:row>0</xdr:row>
      <xdr:rowOff>117566</xdr:rowOff>
    </xdr:from>
    <xdr:to>
      <xdr:col>5</xdr:col>
      <xdr:colOff>396240</xdr:colOff>
      <xdr:row>1</xdr:row>
      <xdr:rowOff>165464</xdr:rowOff>
    </xdr:to>
    <xdr:sp macro="" textlink="">
      <xdr:nvSpPr>
        <xdr:cNvPr id="55" name="TextBox 54">
          <a:extLst>
            <a:ext uri="{FF2B5EF4-FFF2-40B4-BE49-F238E27FC236}">
              <a16:creationId xmlns:a16="http://schemas.microsoft.com/office/drawing/2014/main" id="{698EC062-BE1B-B415-40BC-F51E1836351F}"/>
            </a:ext>
          </a:extLst>
        </xdr:cNvPr>
        <xdr:cNvSpPr txBox="1"/>
      </xdr:nvSpPr>
      <xdr:spPr>
        <a:xfrm>
          <a:off x="827315" y="117566"/>
          <a:ext cx="2616925" cy="23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a:t>
          </a:r>
          <a:r>
            <a:rPr lang="en-IN" sz="1100" baseline="0"/>
            <a:t> Emergency Room Dashboard</a:t>
          </a:r>
          <a:endParaRPr lang="en-IN" sz="1100"/>
        </a:p>
      </xdr:txBody>
    </xdr:sp>
    <xdr:clientData/>
  </xdr:twoCellAnchor>
  <xdr:twoCellAnchor editAs="oneCell">
    <xdr:from>
      <xdr:col>0</xdr:col>
      <xdr:colOff>89787</xdr:colOff>
      <xdr:row>0</xdr:row>
      <xdr:rowOff>52251</xdr:rowOff>
    </xdr:from>
    <xdr:to>
      <xdr:col>1</xdr:col>
      <xdr:colOff>65805</xdr:colOff>
      <xdr:row>2</xdr:row>
      <xdr:rowOff>147145</xdr:rowOff>
    </xdr:to>
    <xdr:pic>
      <xdr:nvPicPr>
        <xdr:cNvPr id="67" name="Picture 66">
          <a:extLst>
            <a:ext uri="{FF2B5EF4-FFF2-40B4-BE49-F238E27FC236}">
              <a16:creationId xmlns:a16="http://schemas.microsoft.com/office/drawing/2014/main" id="{552A47D4-8A01-87C5-6405-A2694EEC53C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251" t="11378" r="2679" b="14667"/>
        <a:stretch>
          <a:fillRect/>
        </a:stretch>
      </xdr:blipFill>
      <xdr:spPr>
        <a:xfrm>
          <a:off x="89787" y="52251"/>
          <a:ext cx="585618" cy="462756"/>
        </a:xfrm>
        <a:prstGeom prst="rect">
          <a:avLst/>
        </a:prstGeom>
      </xdr:spPr>
    </xdr:pic>
    <xdr:clientData/>
  </xdr:twoCellAnchor>
  <xdr:twoCellAnchor editAs="absolute">
    <xdr:from>
      <xdr:col>2</xdr:col>
      <xdr:colOff>148047</xdr:colOff>
      <xdr:row>1</xdr:row>
      <xdr:rowOff>100149</xdr:rowOff>
    </xdr:from>
    <xdr:to>
      <xdr:col>3</xdr:col>
      <xdr:colOff>461555</xdr:colOff>
      <xdr:row>2</xdr:row>
      <xdr:rowOff>91440</xdr:rowOff>
    </xdr:to>
    <xdr:sp macro="" textlink="">
      <xdr:nvSpPr>
        <xdr:cNvPr id="69" name="TextBox 68">
          <a:extLst>
            <a:ext uri="{FF2B5EF4-FFF2-40B4-BE49-F238E27FC236}">
              <a16:creationId xmlns:a16="http://schemas.microsoft.com/office/drawing/2014/main" id="{EEDFA7C7-2DB8-CB72-E3D8-B20F21EE6C70}"/>
            </a:ext>
          </a:extLst>
        </xdr:cNvPr>
        <xdr:cNvSpPr txBox="1"/>
      </xdr:nvSpPr>
      <xdr:spPr>
        <a:xfrm>
          <a:off x="1367247" y="283029"/>
          <a:ext cx="923108"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Monthly</a:t>
          </a:r>
          <a:r>
            <a:rPr lang="en-IN" sz="1100" baseline="0"/>
            <a:t> Report</a:t>
          </a:r>
          <a:endParaRPr lang="en-IN" sz="1100"/>
        </a:p>
      </xdr:txBody>
    </xdr:sp>
    <xdr:clientData/>
  </xdr:twoCellAnchor>
  <xdr:twoCellAnchor editAs="absolute">
    <xdr:from>
      <xdr:col>1</xdr:col>
      <xdr:colOff>566060</xdr:colOff>
      <xdr:row>3</xdr:row>
      <xdr:rowOff>117567</xdr:rowOff>
    </xdr:from>
    <xdr:to>
      <xdr:col>2</xdr:col>
      <xdr:colOff>269966</xdr:colOff>
      <xdr:row>4</xdr:row>
      <xdr:rowOff>108858</xdr:rowOff>
    </xdr:to>
    <xdr:sp macro="" textlink="'pivot report'!A5">
      <xdr:nvSpPr>
        <xdr:cNvPr id="70" name="TextBox 69">
          <a:extLst>
            <a:ext uri="{FF2B5EF4-FFF2-40B4-BE49-F238E27FC236}">
              <a16:creationId xmlns:a16="http://schemas.microsoft.com/office/drawing/2014/main" id="{E02F9788-3643-C4FD-6402-D484A20AE2B9}"/>
            </a:ext>
          </a:extLst>
        </xdr:cNvPr>
        <xdr:cNvSpPr txBox="1"/>
      </xdr:nvSpPr>
      <xdr:spPr>
        <a:xfrm>
          <a:off x="1175660" y="666207"/>
          <a:ext cx="313506"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961748E-8FB3-460B-BB39-FB144CA769F2}" type="TxLink">
            <a:rPr lang="en-US" sz="1100" b="0" i="0" u="none" strike="noStrike">
              <a:solidFill>
                <a:srgbClr val="000000"/>
              </a:solidFill>
              <a:latin typeface="Calibri"/>
              <a:ea typeface="Calibri"/>
              <a:cs typeface="Calibri"/>
            </a:rPr>
            <a:pPr/>
            <a:t>431</a:t>
          </a:fld>
          <a:endParaRPr lang="en-IN" sz="1100"/>
        </a:p>
      </xdr:txBody>
    </xdr:sp>
    <xdr:clientData/>
  </xdr:twoCellAnchor>
  <xdr:twoCellAnchor editAs="absolute">
    <xdr:from>
      <xdr:col>1</xdr:col>
      <xdr:colOff>413659</xdr:colOff>
      <xdr:row>4</xdr:row>
      <xdr:rowOff>91441</xdr:rowOff>
    </xdr:from>
    <xdr:to>
      <xdr:col>3</xdr:col>
      <xdr:colOff>13063</xdr:colOff>
      <xdr:row>5</xdr:row>
      <xdr:rowOff>95794</xdr:rowOff>
    </xdr:to>
    <xdr:sp macro="" textlink="">
      <xdr:nvSpPr>
        <xdr:cNvPr id="71" name="TextBox 70">
          <a:extLst>
            <a:ext uri="{FF2B5EF4-FFF2-40B4-BE49-F238E27FC236}">
              <a16:creationId xmlns:a16="http://schemas.microsoft.com/office/drawing/2014/main" id="{EBB9F253-668B-D42E-392D-C5C738976378}"/>
            </a:ext>
          </a:extLst>
        </xdr:cNvPr>
        <xdr:cNvSpPr txBox="1"/>
      </xdr:nvSpPr>
      <xdr:spPr>
        <a:xfrm>
          <a:off x="1023259" y="822961"/>
          <a:ext cx="818604" cy="187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No.</a:t>
          </a:r>
          <a:r>
            <a:rPr lang="en-IN" sz="800" baseline="0"/>
            <a:t> of patient</a:t>
          </a:r>
          <a:endParaRPr lang="en-IN" sz="800"/>
        </a:p>
      </xdr:txBody>
    </xdr:sp>
    <xdr:clientData/>
  </xdr:twoCellAnchor>
  <xdr:twoCellAnchor editAs="absolute">
    <xdr:from>
      <xdr:col>3</xdr:col>
      <xdr:colOff>470266</xdr:colOff>
      <xdr:row>3</xdr:row>
      <xdr:rowOff>91441</xdr:rowOff>
    </xdr:from>
    <xdr:to>
      <xdr:col>4</xdr:col>
      <xdr:colOff>269966</xdr:colOff>
      <xdr:row>4</xdr:row>
      <xdr:rowOff>82732</xdr:rowOff>
    </xdr:to>
    <xdr:sp macro="" textlink="'pivot report'!A10">
      <xdr:nvSpPr>
        <xdr:cNvPr id="77" name="TextBox 76">
          <a:extLst>
            <a:ext uri="{FF2B5EF4-FFF2-40B4-BE49-F238E27FC236}">
              <a16:creationId xmlns:a16="http://schemas.microsoft.com/office/drawing/2014/main" id="{9FBC0211-904F-B3C6-7444-916D406C183A}"/>
            </a:ext>
          </a:extLst>
        </xdr:cNvPr>
        <xdr:cNvSpPr txBox="1"/>
      </xdr:nvSpPr>
      <xdr:spPr>
        <a:xfrm>
          <a:off x="2299066" y="640081"/>
          <a:ext cx="409300"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C184ABC-9EFA-42D6-90C0-6510F2DB0305}" type="TxLink">
            <a:rPr lang="en-US" sz="1100" b="0" i="0" u="none" strike="noStrike">
              <a:solidFill>
                <a:srgbClr val="000000"/>
              </a:solidFill>
              <a:latin typeface="Calibri"/>
              <a:ea typeface="Calibri"/>
              <a:cs typeface="Calibri"/>
            </a:rPr>
            <a:pPr/>
            <a:t>36.67</a:t>
          </a:fld>
          <a:endParaRPr lang="en-IN" sz="1100"/>
        </a:p>
      </xdr:txBody>
    </xdr:sp>
    <xdr:clientData/>
  </xdr:twoCellAnchor>
  <xdr:twoCellAnchor editAs="absolute">
    <xdr:from>
      <xdr:col>3</xdr:col>
      <xdr:colOff>226423</xdr:colOff>
      <xdr:row>4</xdr:row>
      <xdr:rowOff>82733</xdr:rowOff>
    </xdr:from>
    <xdr:to>
      <xdr:col>5</xdr:col>
      <xdr:colOff>261257</xdr:colOff>
      <xdr:row>5</xdr:row>
      <xdr:rowOff>56606</xdr:rowOff>
    </xdr:to>
    <xdr:sp macro="" textlink="">
      <xdr:nvSpPr>
        <xdr:cNvPr id="78" name="TextBox 77">
          <a:extLst>
            <a:ext uri="{FF2B5EF4-FFF2-40B4-BE49-F238E27FC236}">
              <a16:creationId xmlns:a16="http://schemas.microsoft.com/office/drawing/2014/main" id="{B5B44A6F-AE53-137A-9138-DAC694AB588A}"/>
            </a:ext>
          </a:extLst>
        </xdr:cNvPr>
        <xdr:cNvSpPr txBox="1"/>
      </xdr:nvSpPr>
      <xdr:spPr>
        <a:xfrm>
          <a:off x="2055223" y="814253"/>
          <a:ext cx="1254034" cy="156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Average</a:t>
          </a:r>
          <a:r>
            <a:rPr lang="en-IN" sz="800" baseline="0"/>
            <a:t> Weight Time</a:t>
          </a:r>
          <a:endParaRPr lang="en-IN" sz="800"/>
        </a:p>
      </xdr:txBody>
    </xdr:sp>
    <xdr:clientData/>
  </xdr:twoCellAnchor>
  <xdr:twoCellAnchor editAs="absolute">
    <xdr:from>
      <xdr:col>5</xdr:col>
      <xdr:colOff>404952</xdr:colOff>
      <xdr:row>3</xdr:row>
      <xdr:rowOff>91441</xdr:rowOff>
    </xdr:from>
    <xdr:to>
      <xdr:col>6</xdr:col>
      <xdr:colOff>108858</xdr:colOff>
      <xdr:row>4</xdr:row>
      <xdr:rowOff>82732</xdr:rowOff>
    </xdr:to>
    <xdr:sp macro="" textlink="'pivot report'!A15">
      <xdr:nvSpPr>
        <xdr:cNvPr id="79" name="TextBox 78">
          <a:extLst>
            <a:ext uri="{FF2B5EF4-FFF2-40B4-BE49-F238E27FC236}">
              <a16:creationId xmlns:a16="http://schemas.microsoft.com/office/drawing/2014/main" id="{266C27F1-B5B2-1741-D216-D73455E693D6}"/>
            </a:ext>
          </a:extLst>
        </xdr:cNvPr>
        <xdr:cNvSpPr txBox="1"/>
      </xdr:nvSpPr>
      <xdr:spPr>
        <a:xfrm>
          <a:off x="3452952" y="640081"/>
          <a:ext cx="313506"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77E137E-E1B7-4E04-9307-10EBCB0964A2}" type="TxLink">
            <a:rPr lang="en-US" sz="1100" b="0" i="0" u="none" strike="noStrike">
              <a:solidFill>
                <a:srgbClr val="000000"/>
              </a:solidFill>
              <a:latin typeface="Calibri"/>
              <a:ea typeface="Calibri"/>
              <a:cs typeface="Calibri"/>
            </a:rPr>
            <a:pPr/>
            <a:t>4.72</a:t>
          </a:fld>
          <a:endParaRPr lang="en-IN" sz="1100"/>
        </a:p>
      </xdr:txBody>
    </xdr:sp>
    <xdr:clientData/>
  </xdr:twoCellAnchor>
  <xdr:twoCellAnchor editAs="absolute">
    <xdr:from>
      <xdr:col>5</xdr:col>
      <xdr:colOff>100150</xdr:colOff>
      <xdr:row>4</xdr:row>
      <xdr:rowOff>82733</xdr:rowOff>
    </xdr:from>
    <xdr:to>
      <xdr:col>6</xdr:col>
      <xdr:colOff>583474</xdr:colOff>
      <xdr:row>5</xdr:row>
      <xdr:rowOff>74024</xdr:rowOff>
    </xdr:to>
    <xdr:sp macro="" textlink="">
      <xdr:nvSpPr>
        <xdr:cNvPr id="80" name="TextBox 79">
          <a:extLst>
            <a:ext uri="{FF2B5EF4-FFF2-40B4-BE49-F238E27FC236}">
              <a16:creationId xmlns:a16="http://schemas.microsoft.com/office/drawing/2014/main" id="{F2CACBC9-C185-5261-BB4B-3B2325ED9157}"/>
            </a:ext>
          </a:extLst>
        </xdr:cNvPr>
        <xdr:cNvSpPr txBox="1"/>
      </xdr:nvSpPr>
      <xdr:spPr>
        <a:xfrm>
          <a:off x="3148150" y="814253"/>
          <a:ext cx="1092924"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Patient Satisfaction Score</a:t>
          </a:r>
          <a:endParaRPr lang="en-IN" sz="800"/>
        </a:p>
      </xdr:txBody>
    </xdr:sp>
    <xdr:clientData/>
  </xdr:twoCellAnchor>
  <xdr:twoCellAnchor editAs="oneCell">
    <xdr:from>
      <xdr:col>2</xdr:col>
      <xdr:colOff>435428</xdr:colOff>
      <xdr:row>3</xdr:row>
      <xdr:rowOff>39189</xdr:rowOff>
    </xdr:from>
    <xdr:to>
      <xdr:col>3</xdr:col>
      <xdr:colOff>30479</xdr:colOff>
      <xdr:row>4</xdr:row>
      <xdr:rowOff>60960</xdr:rowOff>
    </xdr:to>
    <xdr:pic>
      <xdr:nvPicPr>
        <xdr:cNvPr id="82" name="Graphic 81" descr="Male profile with solid fill">
          <a:extLst>
            <a:ext uri="{FF2B5EF4-FFF2-40B4-BE49-F238E27FC236}">
              <a16:creationId xmlns:a16="http://schemas.microsoft.com/office/drawing/2014/main" id="{3B74DD21-396C-F852-CC9C-E7F40E67EE4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54628" y="587829"/>
          <a:ext cx="204651" cy="204651"/>
        </a:xfrm>
        <a:prstGeom prst="rect">
          <a:avLst/>
        </a:prstGeom>
      </xdr:spPr>
    </xdr:pic>
    <xdr:clientData/>
  </xdr:twoCellAnchor>
  <xdr:twoCellAnchor editAs="oneCell">
    <xdr:from>
      <xdr:col>6</xdr:col>
      <xdr:colOff>313512</xdr:colOff>
      <xdr:row>3</xdr:row>
      <xdr:rowOff>47899</xdr:rowOff>
    </xdr:from>
    <xdr:to>
      <xdr:col>6</xdr:col>
      <xdr:colOff>496390</xdr:colOff>
      <xdr:row>4</xdr:row>
      <xdr:rowOff>47897</xdr:rowOff>
    </xdr:to>
    <xdr:pic>
      <xdr:nvPicPr>
        <xdr:cNvPr id="84" name="Graphic 83" descr="Customer review with solid fill">
          <a:extLst>
            <a:ext uri="{FF2B5EF4-FFF2-40B4-BE49-F238E27FC236}">
              <a16:creationId xmlns:a16="http://schemas.microsoft.com/office/drawing/2014/main" id="{897DACD5-3F01-07E8-2763-9F3C9BD3B5F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71112" y="596539"/>
          <a:ext cx="182878" cy="182878"/>
        </a:xfrm>
        <a:prstGeom prst="rect">
          <a:avLst/>
        </a:prstGeom>
      </xdr:spPr>
    </xdr:pic>
    <xdr:clientData/>
  </xdr:twoCellAnchor>
  <xdr:twoCellAnchor editAs="oneCell">
    <xdr:from>
      <xdr:col>4</xdr:col>
      <xdr:colOff>435427</xdr:colOff>
      <xdr:row>3</xdr:row>
      <xdr:rowOff>43544</xdr:rowOff>
    </xdr:from>
    <xdr:to>
      <xdr:col>4</xdr:col>
      <xdr:colOff>600888</xdr:colOff>
      <xdr:row>4</xdr:row>
      <xdr:rowOff>26125</xdr:rowOff>
    </xdr:to>
    <xdr:pic>
      <xdr:nvPicPr>
        <xdr:cNvPr id="86" name="Graphic 85" descr="Hourglass Finished with solid fill">
          <a:extLst>
            <a:ext uri="{FF2B5EF4-FFF2-40B4-BE49-F238E27FC236}">
              <a16:creationId xmlns:a16="http://schemas.microsoft.com/office/drawing/2014/main" id="{B8775210-AF30-E72A-0A63-08ECA193F86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3827" y="592184"/>
          <a:ext cx="165461" cy="165461"/>
        </a:xfrm>
        <a:prstGeom prst="rect">
          <a:avLst/>
        </a:prstGeom>
      </xdr:spPr>
    </xdr:pic>
    <xdr:clientData/>
  </xdr:twoCellAnchor>
  <xdr:twoCellAnchor editAs="oneCell">
    <xdr:from>
      <xdr:col>0</xdr:col>
      <xdr:colOff>47897</xdr:colOff>
      <xdr:row>3</xdr:row>
      <xdr:rowOff>43544</xdr:rowOff>
    </xdr:from>
    <xdr:to>
      <xdr:col>1</xdr:col>
      <xdr:colOff>26126</xdr:colOff>
      <xdr:row>14</xdr:row>
      <xdr:rowOff>130630</xdr:rowOff>
    </xdr:to>
    <mc:AlternateContent xmlns:mc="http://schemas.openxmlformats.org/markup-compatibility/2006" xmlns:a14="http://schemas.microsoft.com/office/drawing/2010/main">
      <mc:Choice Requires="a14">
        <xdr:graphicFrame macro="">
          <xdr:nvGraphicFramePr>
            <xdr:cNvPr id="87" name="Date (Month)">
              <a:extLst>
                <a:ext uri="{FF2B5EF4-FFF2-40B4-BE49-F238E27FC236}">
                  <a16:creationId xmlns:a16="http://schemas.microsoft.com/office/drawing/2014/main" id="{DB217AAF-B0F3-4503-BDB4-1310BA0DCFE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7897" y="592184"/>
              <a:ext cx="587829" cy="2098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17417</xdr:colOff>
      <xdr:row>5</xdr:row>
      <xdr:rowOff>43544</xdr:rowOff>
    </xdr:from>
    <xdr:to>
      <xdr:col>3</xdr:col>
      <xdr:colOff>91440</xdr:colOff>
      <xdr:row>6</xdr:row>
      <xdr:rowOff>143691</xdr:rowOff>
    </xdr:to>
    <xdr:graphicFrame macro="">
      <xdr:nvGraphicFramePr>
        <xdr:cNvPr id="88" name="Chart 87">
          <a:extLst>
            <a:ext uri="{FF2B5EF4-FFF2-40B4-BE49-F238E27FC236}">
              <a16:creationId xmlns:a16="http://schemas.microsoft.com/office/drawing/2014/main" id="{120F2C05-3D75-4203-BFB1-02C42764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87086</xdr:colOff>
      <xdr:row>5</xdr:row>
      <xdr:rowOff>62761</xdr:rowOff>
    </xdr:from>
    <xdr:to>
      <xdr:col>5</xdr:col>
      <xdr:colOff>95793</xdr:colOff>
      <xdr:row>6</xdr:row>
      <xdr:rowOff>145493</xdr:rowOff>
    </xdr:to>
    <xdr:graphicFrame macro="">
      <xdr:nvGraphicFramePr>
        <xdr:cNvPr id="93" name="Chart 92">
          <a:extLst>
            <a:ext uri="{FF2B5EF4-FFF2-40B4-BE49-F238E27FC236}">
              <a16:creationId xmlns:a16="http://schemas.microsoft.com/office/drawing/2014/main" id="{9CF2C60D-253D-4986-B473-0D727F0CD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46996</xdr:colOff>
      <xdr:row>5</xdr:row>
      <xdr:rowOff>22672</xdr:rowOff>
    </xdr:from>
    <xdr:to>
      <xdr:col>6</xdr:col>
      <xdr:colOff>595636</xdr:colOff>
      <xdr:row>6</xdr:row>
      <xdr:rowOff>135884</xdr:rowOff>
    </xdr:to>
    <xdr:graphicFrame macro="">
      <xdr:nvGraphicFramePr>
        <xdr:cNvPr id="94" name="Chart 93">
          <a:extLst>
            <a:ext uri="{FF2B5EF4-FFF2-40B4-BE49-F238E27FC236}">
              <a16:creationId xmlns:a16="http://schemas.microsoft.com/office/drawing/2014/main" id="{7D588380-39D2-46C5-A261-F3DE4A5F4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157655</xdr:colOff>
          <xdr:row>7</xdr:row>
          <xdr:rowOff>0</xdr:rowOff>
        </xdr:from>
        <xdr:to>
          <xdr:col>6</xdr:col>
          <xdr:colOff>572815</xdr:colOff>
          <xdr:row>9</xdr:row>
          <xdr:rowOff>10511</xdr:rowOff>
        </xdr:to>
        <xdr:pic>
          <xdr:nvPicPr>
            <xdr:cNvPr id="9" name="Picture 8">
              <a:extLst>
                <a:ext uri="{FF2B5EF4-FFF2-40B4-BE49-F238E27FC236}">
                  <a16:creationId xmlns:a16="http://schemas.microsoft.com/office/drawing/2014/main" id="{0EC04E85-777C-6C86-3F2C-871C933E8FB7}"/>
                </a:ext>
              </a:extLst>
            </xdr:cNvPr>
            <xdr:cNvPicPr>
              <a:picLocks noChangeAspect="1" noChangeArrowheads="1"/>
              <a:extLst>
                <a:ext uri="{84589F7E-364E-4C9E-8A38-B11213B215E9}">
                  <a14:cameraTool cellRange="'pivot report'!$A$54:$D$56" spid="_x0000_s1075"/>
                </a:ext>
              </a:extLst>
            </xdr:cNvPicPr>
          </xdr:nvPicPr>
          <xdr:blipFill>
            <a:blip xmlns:r="http://schemas.openxmlformats.org/officeDocument/2006/relationships" r:embed="rId11"/>
            <a:srcRect/>
            <a:stretch>
              <a:fillRect/>
            </a:stretch>
          </xdr:blipFill>
          <xdr:spPr bwMode="auto">
            <a:xfrm>
              <a:off x="767255" y="1287517"/>
              <a:ext cx="3463160" cy="37837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106580</xdr:colOff>
      <xdr:row>9</xdr:row>
      <xdr:rowOff>52388</xdr:rowOff>
    </xdr:from>
    <xdr:to>
      <xdr:col>6</xdr:col>
      <xdr:colOff>595311</xdr:colOff>
      <xdr:row>15</xdr:row>
      <xdr:rowOff>50753</xdr:rowOff>
    </xdr:to>
    <xdr:graphicFrame macro="">
      <xdr:nvGraphicFramePr>
        <xdr:cNvPr id="4" name="Chart 3">
          <a:extLst>
            <a:ext uri="{FF2B5EF4-FFF2-40B4-BE49-F238E27FC236}">
              <a16:creationId xmlns:a16="http://schemas.microsoft.com/office/drawing/2014/main" id="{BF38FB7E-C6C7-48C1-8B5F-342D0DC98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120868</xdr:colOff>
      <xdr:row>14</xdr:row>
      <xdr:rowOff>7227</xdr:rowOff>
    </xdr:from>
    <xdr:to>
      <xdr:col>5</xdr:col>
      <xdr:colOff>289035</xdr:colOff>
      <xdr:row>15</xdr:row>
      <xdr:rowOff>11579</xdr:rowOff>
    </xdr:to>
    <xdr:sp macro="" textlink="">
      <xdr:nvSpPr>
        <xdr:cNvPr id="5" name="TextBox 4">
          <a:extLst>
            <a:ext uri="{FF2B5EF4-FFF2-40B4-BE49-F238E27FC236}">
              <a16:creationId xmlns:a16="http://schemas.microsoft.com/office/drawing/2014/main" id="{E96BD424-FFE9-4585-9E87-E70ED984B5A5}"/>
            </a:ext>
          </a:extLst>
        </xdr:cNvPr>
        <xdr:cNvSpPr txBox="1"/>
      </xdr:nvSpPr>
      <xdr:spPr>
        <a:xfrm>
          <a:off x="1949668" y="2540877"/>
          <a:ext cx="1387367" cy="18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No.</a:t>
          </a:r>
          <a:r>
            <a:rPr lang="en-IN" sz="800" baseline="0"/>
            <a:t> of patient by Age group</a:t>
          </a:r>
          <a:endParaRPr lang="en-IN" sz="800"/>
        </a:p>
      </xdr:txBody>
    </xdr:sp>
    <xdr:clientData/>
  </xdr:twoCellAnchor>
  <xdr:twoCellAnchor>
    <xdr:from>
      <xdr:col>6</xdr:col>
      <xdr:colOff>557350</xdr:colOff>
      <xdr:row>0</xdr:row>
      <xdr:rowOff>52251</xdr:rowOff>
    </xdr:from>
    <xdr:to>
      <xdr:col>9</xdr:col>
      <xdr:colOff>152400</xdr:colOff>
      <xdr:row>6</xdr:row>
      <xdr:rowOff>134982</xdr:rowOff>
    </xdr:to>
    <xdr:graphicFrame macro="">
      <xdr:nvGraphicFramePr>
        <xdr:cNvPr id="6" name="Chart 5">
          <a:extLst>
            <a:ext uri="{FF2B5EF4-FFF2-40B4-BE49-F238E27FC236}">
              <a16:creationId xmlns:a16="http://schemas.microsoft.com/office/drawing/2014/main" id="{EB6C466C-586C-43A7-B8ED-1ACAE8C61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117567</xdr:colOff>
      <xdr:row>0</xdr:row>
      <xdr:rowOff>43543</xdr:rowOff>
    </xdr:from>
    <xdr:to>
      <xdr:col>11</xdr:col>
      <xdr:colOff>178526</xdr:colOff>
      <xdr:row>6</xdr:row>
      <xdr:rowOff>108856</xdr:rowOff>
    </xdr:to>
    <xdr:graphicFrame macro="">
      <xdr:nvGraphicFramePr>
        <xdr:cNvPr id="7" name="Chart 6">
          <a:extLst>
            <a:ext uri="{FF2B5EF4-FFF2-40B4-BE49-F238E27FC236}">
              <a16:creationId xmlns:a16="http://schemas.microsoft.com/office/drawing/2014/main" id="{ED9BBAB3-9D25-4975-A3C8-3D29827A6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330928</xdr:colOff>
      <xdr:row>5</xdr:row>
      <xdr:rowOff>174171</xdr:rowOff>
    </xdr:from>
    <xdr:to>
      <xdr:col>10</xdr:col>
      <xdr:colOff>557350</xdr:colOff>
      <xdr:row>6</xdr:row>
      <xdr:rowOff>100149</xdr:rowOff>
    </xdr:to>
    <xdr:sp macro="" textlink="">
      <xdr:nvSpPr>
        <xdr:cNvPr id="8" name="TextBox 70">
          <a:extLst>
            <a:ext uri="{FF2B5EF4-FFF2-40B4-BE49-F238E27FC236}">
              <a16:creationId xmlns:a16="http://schemas.microsoft.com/office/drawing/2014/main" id="{CE207131-966C-D615-DA14-131B24373536}"/>
            </a:ext>
          </a:extLst>
        </xdr:cNvPr>
        <xdr:cNvSpPr txBox="1"/>
      </xdr:nvSpPr>
      <xdr:spPr>
        <a:xfrm>
          <a:off x="5817328" y="1088571"/>
          <a:ext cx="836022" cy="10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700" baseline="0"/>
            <a:t>Gender wise Analysis</a:t>
          </a:r>
          <a:endParaRPr lang="en-IN" sz="700"/>
        </a:p>
      </xdr:txBody>
    </xdr:sp>
    <xdr:clientData/>
  </xdr:twoCellAnchor>
  <xdr:twoCellAnchor>
    <xdr:from>
      <xdr:col>7</xdr:col>
      <xdr:colOff>10613</xdr:colOff>
      <xdr:row>6</xdr:row>
      <xdr:rowOff>109538</xdr:rowOff>
    </xdr:from>
    <xdr:to>
      <xdr:col>11</xdr:col>
      <xdr:colOff>195262</xdr:colOff>
      <xdr:row>14</xdr:row>
      <xdr:rowOff>166687</xdr:rowOff>
    </xdr:to>
    <xdr:graphicFrame macro="">
      <xdr:nvGraphicFramePr>
        <xdr:cNvPr id="10" name="Chart 9">
          <a:extLst>
            <a:ext uri="{FF2B5EF4-FFF2-40B4-BE49-F238E27FC236}">
              <a16:creationId xmlns:a16="http://schemas.microsoft.com/office/drawing/2014/main" id="{9BCAA3DF-9852-470D-B872-616DFA29D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xdr:col>
      <xdr:colOff>421684</xdr:colOff>
      <xdr:row>0</xdr:row>
      <xdr:rowOff>39189</xdr:rowOff>
    </xdr:from>
    <xdr:to>
      <xdr:col>6</xdr:col>
      <xdr:colOff>518160</xdr:colOff>
      <xdr:row>2</xdr:row>
      <xdr:rowOff>156757</xdr:rowOff>
    </xdr:to>
    <mc:AlternateContent xmlns:mc="http://schemas.openxmlformats.org/markup-compatibility/2006">
      <mc:Choice xmlns:a14="http://schemas.microsoft.com/office/drawing/2010/main" Requires="a14">
        <xdr:graphicFrame macro="">
          <xdr:nvGraphicFramePr>
            <xdr:cNvPr id="14" name="Date (Year)">
              <a:extLst>
                <a:ext uri="{FF2B5EF4-FFF2-40B4-BE49-F238E27FC236}">
                  <a16:creationId xmlns:a16="http://schemas.microsoft.com/office/drawing/2014/main" id="{41B0E5C6-13A0-48A3-82E3-44C5A3A9287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69684" y="39189"/>
              <a:ext cx="706076" cy="483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0.15596</cdr:x>
      <cdr:y>0.87454</cdr:y>
    </cdr:from>
    <cdr:to>
      <cdr:x>0.99082</cdr:x>
      <cdr:y>1</cdr:y>
    </cdr:to>
    <cdr:sp macro="" textlink="">
      <cdr:nvSpPr>
        <cdr:cNvPr id="2" name="TextBox 70">
          <a:extLst xmlns:a="http://schemas.openxmlformats.org/drawingml/2006/main">
            <a:ext uri="{FF2B5EF4-FFF2-40B4-BE49-F238E27FC236}">
              <a16:creationId xmlns:a16="http://schemas.microsoft.com/office/drawing/2014/main" id="{EBB9F253-668B-D42E-392D-C5C738976378}"/>
            </a:ext>
          </a:extLst>
        </cdr:cNvPr>
        <cdr:cNvSpPr txBox="1"/>
      </cdr:nvSpPr>
      <cdr:spPr>
        <a:xfrm xmlns:a="http://schemas.openxmlformats.org/drawingml/2006/main">
          <a:off x="222066" y="1031965"/>
          <a:ext cx="1188720" cy="1480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700" baseline="0"/>
            <a:t>patient attended within Tme</a:t>
          </a:r>
          <a:endParaRPr lang="en-IN" sz="700"/>
        </a:p>
      </cdr:txBody>
    </cdr:sp>
  </cdr:relSizeAnchor>
</c:userShapes>
</file>

<file path=xl/drawings/drawing4.xml><?xml version="1.0" encoding="utf-8"?>
<c:userShapes xmlns:c="http://schemas.openxmlformats.org/drawingml/2006/chart">
  <cdr:relSizeAnchor xmlns:cdr="http://schemas.openxmlformats.org/drawingml/2006/chartDrawing">
    <cdr:from>
      <cdr:x>0.21727</cdr:x>
      <cdr:y>0.89135</cdr:y>
    </cdr:from>
    <cdr:to>
      <cdr:x>0.82751</cdr:x>
      <cdr:y>1</cdr:y>
    </cdr:to>
    <cdr:sp macro="" textlink="">
      <cdr:nvSpPr>
        <cdr:cNvPr id="2" name="TextBox 70">
          <a:extLst xmlns:a="http://schemas.openxmlformats.org/drawingml/2006/main">
            <a:ext uri="{FF2B5EF4-FFF2-40B4-BE49-F238E27FC236}">
              <a16:creationId xmlns:a16="http://schemas.microsoft.com/office/drawing/2014/main" id="{05775C20-A2D4-1337-ABBB-9550AB2543C1}"/>
            </a:ext>
          </a:extLst>
        </cdr:cNvPr>
        <cdr:cNvSpPr txBox="1"/>
      </cdr:nvSpPr>
      <cdr:spPr>
        <a:xfrm xmlns:a="http://schemas.openxmlformats.org/drawingml/2006/main">
          <a:off x="569913" y="1341436"/>
          <a:ext cx="1600699" cy="16351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700" baseline="0"/>
            <a:t>No.of patient by Department Referal</a:t>
          </a:r>
          <a:endParaRPr lang="en-IN" sz="7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228600</xdr:colOff>
      <xdr:row>23</xdr:row>
      <xdr:rowOff>121920</xdr:rowOff>
    </xdr:to>
    <xdr:graphicFrame macro="">
      <xdr:nvGraphicFramePr>
        <xdr:cNvPr id="2" name="Chart 1">
          <a:extLst>
            <a:ext uri="{FF2B5EF4-FFF2-40B4-BE49-F238E27FC236}">
              <a16:creationId xmlns:a16="http://schemas.microsoft.com/office/drawing/2014/main" id="{329DE68A-818C-44A9-9BBE-34D1A693F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0046299" createdVersion="5" refreshedVersion="8" minRefreshableVersion="3" recordCount="0" supportSubquery="1" supportAdvancedDrill="1" xr:uid="{3B5C6392-925D-4819-B896-B4B08A9DF8A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Feb"/>
        <s v="2-Feb"/>
        <s v="3-Feb"/>
        <s v="4-Feb"/>
        <s v="5-Feb"/>
        <s v="6-Feb"/>
        <s v="7-Feb"/>
        <s v="8-Feb"/>
        <s v="9-Feb"/>
        <s v="10-Feb"/>
        <s v="11-Feb"/>
        <s v="12-Feb"/>
        <s v="13-Feb"/>
        <s v="14-Feb"/>
        <s v="15-Feb"/>
        <s v="16-Feb"/>
        <s v="17-Feb"/>
        <s v="18-Feb"/>
        <s v="19-Feb"/>
        <s v="20-Feb"/>
        <s v="21-Feb"/>
        <s v="22-Feb"/>
        <s v="23-Feb"/>
        <s v="24-Feb"/>
        <s v="25-Feb"/>
        <s v="26-Feb"/>
        <s v="27-Feb"/>
        <s v="28-Feb"/>
        <s v="29-Feb"/>
        <s v="12-Jun" u="1"/>
        <s v="12-May"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0625" createdVersion="5" refreshedVersion="8" minRefreshableVersion="3" recordCount="0" supportSubquery="1" supportAdvancedDrill="1" xr:uid="{C013C578-A9AC-46E7-894D-02B7A1BE6D6E}">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1319446" createdVersion="5" refreshedVersion="8" minRefreshableVersion="3" recordCount="0" supportSubquery="1" supportAdvancedDrill="1" xr:uid="{85EAEAB7-5C05-4033-989D-9E6AFD0F4FE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1898147" createdVersion="5" refreshedVersion="8" minRefreshableVersion="3" recordCount="0" supportSubquery="1" supportAdvancedDrill="1" xr:uid="{BDE29312-DA6E-434F-BAFF-509E5F551EE8}">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2939817" createdVersion="5" refreshedVersion="8" minRefreshableVersion="3" recordCount="0" supportSubquery="1" supportAdvancedDrill="1" xr:uid="{20BCCE2B-F109-4850-A083-AE33776A9921}">
  <cacheSource type="external" connectionId="3"/>
  <cacheFields count="4">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4328702" createdVersion="5" refreshedVersion="8" minRefreshableVersion="3" recordCount="0" supportSubquery="1" supportAdvancedDrill="1" xr:uid="{C98CD5F7-3081-447A-83DC-1F5212CE9A7D}">
  <cacheSource type="external" connectionId="3"/>
  <cacheFields count="4">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182">
        <s v="1-Feb"/>
        <s v="2-Feb"/>
        <s v="3-Feb"/>
        <s v="4-Feb"/>
        <s v="5-Feb"/>
        <s v="6-Feb"/>
        <s v="7-Feb"/>
        <s v="8-Feb"/>
        <s v="9-Feb"/>
        <s v="10-Feb"/>
        <s v="11-Feb"/>
        <s v="12-Feb"/>
        <s v="13-Feb"/>
        <s v="14-Feb"/>
        <s v="15-Feb"/>
        <s v="16-Feb"/>
        <s v="17-Feb"/>
        <s v="18-Feb"/>
        <s v="19-Feb"/>
        <s v="20-Feb"/>
        <s v="21-Feb"/>
        <s v="22-Feb"/>
        <s v="23-Feb"/>
        <s v="24-Feb"/>
        <s v="25-Feb"/>
        <s v="26-Feb"/>
        <s v="27-Feb"/>
        <s v="28-Feb"/>
        <s v="29-Feb"/>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haredItems>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5370372" createdVersion="5" refreshedVersion="8" minRefreshableVersion="3" recordCount="0" supportSubquery="1" supportAdvancedDrill="1" xr:uid="{068A1119-8EC2-4AAB-A079-75B9C5B58C5F}">
  <cacheSource type="external" connectionId="3"/>
  <cacheFields count="4">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182">
        <s v="1-Feb"/>
        <s v="2-Feb"/>
        <s v="3-Feb"/>
        <s v="4-Feb"/>
        <s v="5-Feb"/>
        <s v="6-Feb"/>
        <s v="7-Feb"/>
        <s v="8-Feb"/>
        <s v="9-Feb"/>
        <s v="10-Feb"/>
        <s v="11-Feb"/>
        <s v="12-Feb"/>
        <s v="13-Feb"/>
        <s v="14-Feb"/>
        <s v="15-Feb"/>
        <s v="16-Feb"/>
        <s v="17-Feb"/>
        <s v="18-Feb"/>
        <s v="19-Feb"/>
        <s v="20-Feb"/>
        <s v="21-Feb"/>
        <s v="22-Feb"/>
        <s v="23-Feb"/>
        <s v="24-Feb"/>
        <s v="25-Feb"/>
        <s v="27-Feb"/>
        <s v="28-Feb"/>
        <s v="29-Feb"/>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May" u="1"/>
        <s v="2-May" u="1"/>
        <s v="3-May" u="1"/>
        <s v="4-May" u="1"/>
        <s v="5-May" u="1"/>
        <s v="6-May" u="1"/>
        <s v="7-May" u="1"/>
        <s v="8-May" u="1"/>
        <s v="9-May" u="1"/>
        <s v="10-May" u="1"/>
        <s v="11-May" u="1"/>
        <s v="12-May" u="1"/>
        <s v="13-May" u="1"/>
        <s v="14-May" u="1"/>
        <s v="16-May" u="1"/>
        <s v="17-May" u="1"/>
        <s v="18-May" u="1"/>
        <s v="19-May" u="1"/>
        <s v="20-May" u="1"/>
        <s v="21-May" u="1"/>
        <s v="22-May" u="1"/>
        <s v="23-May" u="1"/>
        <s v="24-May" u="1"/>
        <s v="25-May" u="1"/>
        <s v="26-May" u="1"/>
        <s v="27-May" u="1"/>
        <s v="28-May" u="1"/>
        <s v="29-May" u="1"/>
        <s v="30-May" u="1"/>
        <s v="31-May"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5-May" u="1"/>
        <s v="26-Feb" u="1"/>
      </sharedItems>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6296296" createdVersion="5" refreshedVersion="8" minRefreshableVersion="3" recordCount="0" supportSubquery="1" supportAdvancedDrill="1" xr:uid="{FEC574D2-5C08-405D-BB42-4C3A7D81A5E0}">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6990742" createdVersion="5" refreshedVersion="8" minRefreshableVersion="3" recordCount="0" supportSubquery="1" supportAdvancedDrill="1" xr:uid="{E00526B8-44F4-47A6-83FD-311AF0E43AE1}">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7569443" createdVersion="5" refreshedVersion="8" minRefreshableVersion="3" recordCount="0" supportSubquery="1" supportAdvancedDrill="1" xr:uid="{EBAEC74F-77A8-421C-A511-7D2B26052A1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826389" createdVersion="5" refreshedVersion="8" minRefreshableVersion="3" recordCount="0" supportSubquery="1" supportAdvancedDrill="1" xr:uid="{542B3558-A73E-4E14-8385-8E861E4EC64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8726851" createdVersion="5" refreshedVersion="8" minRefreshableVersion="3" recordCount="0" supportSubquery="1" supportAdvancedDrill="1" xr:uid="{7C88EDA2-5AAE-4776-8337-45A1B67FC496}">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2.585599421298" createdVersion="5" refreshedVersion="8" minRefreshableVersion="3" recordCount="0" supportSubquery="1" supportAdvancedDrill="1" xr:uid="{B7352860-4F7F-4D21-99C5-771F91B64047}">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ay Devkate" refreshedDate="46171.606718518517" createdVersion="3" refreshedVersion="8" minRefreshableVersion="3" recordCount="0" supportSubquery="1" supportAdvancedDrill="1" xr:uid="{532C2E50-C834-4A69-A25C-33DD47182921}">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725299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DCF4D9-8126-42D9-816F-EAAFFB3E1B6B}" name="PivotTable13" cacheId="3462" applyNumberFormats="0" applyBorderFormats="0" applyFontFormats="0" applyPatternFormats="0" applyAlignmentFormats="0" applyWidthHeightFormats="1" dataCaption="Values" tag="b19fcd54-7ef6-40f7-b62f-ab9e7fdfc593" updatedVersion="8" minRefreshableVersion="3" subtotalHiddenItems="1" itemPrintTitles="1" createdVersion="5" indent="0" outline="1" outlineData="1" multipleFieldFilters="0" chartFormat="64">
  <location ref="A102:A10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828">
      <pivotArea outline="0" collapsedLevelsAreSubtotals="1" fieldPosition="0"/>
    </format>
    <format dxfId="829">
      <pivotArea grandRow="1"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3AC38-DB4B-4293-BDE5-7745B15F0229}" name="PivotTable6" cacheId="3459" applyNumberFormats="0" applyBorderFormats="0" applyFontFormats="0" applyPatternFormats="0" applyAlignmentFormats="0" applyWidthHeightFormats="1" dataCaption="Values" tag="b19fcd54-7ef6-40f7-b62f-ab9e7fdfc593" updatedVersion="8" minRefreshableVersion="3" subtotalHiddenItems="1" itemPrintTitles="1" createdVersion="5" indent="0" outline="1" outlineData="1" multipleFieldFilters="0" chartFormat="64">
  <location ref="A88:B9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numFmtId="1"/>
  </dataFields>
  <formats count="2">
    <format dxfId="830">
      <pivotArea outline="0" collapsedLevelsAreSubtotals="1" fieldPosition="0"/>
    </format>
    <format dxfId="831">
      <pivotArea grandRow="1" outline="0" collapsedLevelsAreSubtotals="1" fieldPosition="0"/>
    </format>
  </formats>
  <chartFormats count="1">
    <chartFormat chart="6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DE122B-7295-4CCE-93FB-ED7134AB5767}" name="PivotTable5" cacheId="3456" applyNumberFormats="0" applyBorderFormats="0" applyFontFormats="0" applyPatternFormats="0" applyAlignmentFormats="0" applyWidthHeightFormats="1" dataCaption="Values" tag="b19fcd54-7ef6-40f7-b62f-ab9e7fdfc593" updatedVersion="8" minRefreshableVersion="3" subtotalHiddenItems="1" itemPrintTitles="1" createdVersion="5" indent="0" outline="1" outlineData="1" multipleFieldFilters="0" chartFormat="60">
  <location ref="A81:B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32">
      <pivotArea outline="0" collapsedLevelsAreSubtotals="1" fieldPosition="0"/>
    </format>
  </formats>
  <chartFormats count="3">
    <chartFormat chart="59" format="4" series="1">
      <pivotArea type="data" outline="0" fieldPosition="0">
        <references count="1">
          <reference field="4294967294" count="1" selected="0">
            <x v="0"/>
          </reference>
        </references>
      </pivotArea>
    </chartFormat>
    <chartFormat chart="59" format="5">
      <pivotArea type="data" outline="0" fieldPosition="0">
        <references count="2">
          <reference field="4294967294" count="1" selected="0">
            <x v="0"/>
          </reference>
          <reference field="1" count="1" selected="0">
            <x v="0"/>
          </reference>
        </references>
      </pivotArea>
    </chartFormat>
    <chartFormat chart="5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C22B37-5F15-40B3-B592-4F8D56252FDD}" name="PivotTable4" cacheId="3453" applyNumberFormats="0" applyBorderFormats="0" applyFontFormats="0" applyPatternFormats="0" applyAlignmentFormats="0" applyWidthHeightFormats="1" dataCaption="Values" tag="b19fcd54-7ef6-40f7-b62f-ab9e7fdfc593" updatedVersion="8" minRefreshableVersion="3" subtotalHiddenItems="1" itemPrintTitles="1" createdVersion="5" indent="0" outline="1" outlineData="1" multipleFieldFilters="0" chartFormat="55">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833">
      <pivotArea outline="0" collapsedLevelsAreSubtotals="1" fieldPosition="0"/>
    </format>
    <format dxfId="834">
      <pivotArea collapsedLevelsAreSubtotals="1" fieldPosition="0">
        <references count="1">
          <reference field="1" count="0"/>
        </references>
      </pivotArea>
    </format>
  </formats>
  <chartFormats count="3">
    <chartFormat chart="54" format="4" series="1">
      <pivotArea type="data" outline="0" fieldPosition="0">
        <references count="1">
          <reference field="4294967294" count="1" selected="0">
            <x v="0"/>
          </reference>
        </references>
      </pivotArea>
    </chartFormat>
    <chartFormat chart="54" format="5">
      <pivotArea type="data" outline="0" fieldPosition="0">
        <references count="2">
          <reference field="4294967294" count="1" selected="0">
            <x v="0"/>
          </reference>
          <reference field="1" count="1" selected="0">
            <x v="0"/>
          </reference>
        </references>
      </pivotArea>
    </chartFormat>
    <chartFormat chart="5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4429D-8CFC-4748-B7D3-727BECEEF21F}" name="PivotTable3" cacheId="3450" applyNumberFormats="0" applyBorderFormats="0" applyFontFormats="0" applyPatternFormats="0" applyAlignmentFormats="0" applyWidthHeightFormats="1" dataCaption="Values" tag="b19fcd54-7ef6-40f7-b62f-ab9e7fdfc593" updatedVersion="8" minRefreshableVersion="3" subtotalHiddenItems="1" itemPrintTitles="1" createdVersion="5" indent="0" outline="1" outlineData="1" multipleFieldFilters="0" chartFormat="50">
  <location ref="A60: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835">
      <pivotArea outline="0" collapsedLevelsAreSubtotals="1" fieldPosition="0"/>
    </format>
    <format dxfId="836">
      <pivotArea collapsedLevelsAreSubtotals="1" fieldPosition="0">
        <references count="1">
          <reference field="1" count="0"/>
        </references>
      </pivotArea>
    </format>
  </formats>
  <chartFormats count="2">
    <chartFormat chart="48" format="2" series="1">
      <pivotArea type="data" outline="0" fieldPosition="0">
        <references count="1">
          <reference field="4294967294" count="1" selected="0">
            <x v="0"/>
          </reference>
        </references>
      </pivotArea>
    </chartFormat>
    <chartFormat chart="48" format="3">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3CE815-13D3-4709-A08A-6A106C9C7C8D}" name="PivotTable12" cacheId="3444" applyNumberFormats="0" applyBorderFormats="0" applyFontFormats="0" applyPatternFormats="0" applyAlignmentFormats="0" applyWidthHeightFormats="1" dataCaption="Values" tag="b19fcd54-7ef6-40f7-b62f-ab9e7fdfc593" updatedVersion="8" minRefreshableVersion="3" showDrill="0" useAutoFormatting="1" subtotalHiddenItems="1" itemPrintTitles="1" createdVersion="5" indent="0" outline="1" outlineData="1" multipleFieldFilters="0" chartFormat="41">
  <location ref="L7:M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s>
    </pivotField>
    <pivotField dataField="1" subtotalTop="0" showAll="0" defaultSubtotal="0"/>
    <pivotField allDrilled="1" subtotalTop="0" showAll="0" dataSourceSort="1" defaultSubtotal="0" defaultAttributeDrillState="1"/>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1" baseItem="0"/>
  </dataFields>
  <formats count="5">
    <format dxfId="839">
      <pivotArea collapsedLevelsAreSubtotals="1" fieldPosition="0">
        <references count="1">
          <reference field="1" count="0"/>
        </references>
      </pivotArea>
    </format>
    <format dxfId="840">
      <pivotArea dataOnly="0" labelOnly="1" fieldPosition="0">
        <references count="1">
          <reference field="1" count="50">
            <x v="0"/>
            <x v="1"/>
            <x v="2"/>
            <x v="3"/>
            <x v="4"/>
            <x v="5"/>
            <x v="6"/>
            <x v="7"/>
            <x v="8"/>
            <x v="9"/>
            <x v="10"/>
            <x v="11"/>
            <x v="12"/>
            <x v="13"/>
            <x v="14"/>
            <x v="15"/>
            <x v="16"/>
            <x v="17"/>
            <x v="18"/>
            <x v="28"/>
            <x v="29"/>
            <x v="30"/>
            <x v="31"/>
            <x v="32"/>
            <x v="33"/>
            <x v="34"/>
            <x v="35"/>
            <x v="36"/>
            <x v="37"/>
            <x v="38"/>
            <x v="39"/>
            <x v="40"/>
            <x v="41"/>
            <x v="42"/>
            <x v="43"/>
            <x v="44"/>
            <x v="45"/>
            <x v="46"/>
            <x v="47"/>
            <x v="48"/>
            <x v="49"/>
            <x v="50"/>
            <x v="51"/>
            <x v="52"/>
            <x v="53"/>
            <x v="54"/>
            <x v="55"/>
            <x v="56"/>
            <x v="57"/>
            <x v="58"/>
          </reference>
        </references>
      </pivotArea>
    </format>
    <format dxfId="841">
      <pivotArea dataOnly="0" labelOnly="1" fieldPosition="0">
        <references count="1">
          <reference field="1" count="50">
            <x v="19"/>
            <x v="20"/>
            <x v="21"/>
            <x v="22"/>
            <x v="23"/>
            <x v="24"/>
            <x v="25"/>
            <x v="26"/>
            <x v="27"/>
            <x v="59"/>
            <x v="60"/>
            <x v="61"/>
            <x v="62"/>
            <x v="63"/>
            <x v="64"/>
            <x v="65"/>
            <x v="66"/>
            <x v="67"/>
            <x v="89"/>
            <x v="90"/>
            <x v="91"/>
            <x v="92"/>
            <x v="93"/>
            <x v="94"/>
            <x v="95"/>
            <x v="96"/>
            <x v="97"/>
            <x v="98"/>
            <x v="99"/>
            <x v="100"/>
            <x v="101"/>
            <x v="102"/>
            <x v="103"/>
            <x v="104"/>
            <x v="105"/>
            <x v="106"/>
            <x v="107"/>
            <x v="108"/>
            <x v="109"/>
            <x v="110"/>
            <x v="111"/>
            <x v="112"/>
            <x v="113"/>
            <x v="114"/>
            <x v="115"/>
            <x v="116"/>
            <x v="117"/>
            <x v="118"/>
            <x v="180"/>
            <x v="181"/>
          </reference>
        </references>
      </pivotArea>
    </format>
    <format dxfId="842">
      <pivotArea dataOnly="0" labelOnly="1" fieldPosition="0">
        <references count="1">
          <reference field="1" count="50">
            <x v="68"/>
            <x v="69"/>
            <x v="70"/>
            <x v="71"/>
            <x v="72"/>
            <x v="73"/>
            <x v="74"/>
            <x v="75"/>
            <x v="76"/>
            <x v="77"/>
            <x v="78"/>
            <x v="79"/>
            <x v="80"/>
            <x v="81"/>
            <x v="82"/>
            <x v="83"/>
            <x v="84"/>
            <x v="85"/>
            <x v="86"/>
            <x v="87"/>
            <x v="88"/>
            <x v="119"/>
            <x v="120"/>
            <x v="121"/>
            <x v="122"/>
            <x v="123"/>
            <x v="124"/>
            <x v="125"/>
            <x v="126"/>
            <x v="127"/>
            <x v="128"/>
            <x v="129"/>
            <x v="130"/>
            <x v="131"/>
            <x v="132"/>
            <x v="133"/>
            <x v="134"/>
            <x v="135"/>
            <x v="136"/>
            <x v="137"/>
            <x v="138"/>
            <x v="139"/>
            <x v="140"/>
            <x v="141"/>
            <x v="142"/>
            <x v="143"/>
            <x v="144"/>
            <x v="145"/>
            <x v="146"/>
            <x v="147"/>
          </reference>
        </references>
      </pivotArea>
    </format>
    <format dxfId="843">
      <pivotArea dataOnly="0" labelOnly="1" fieldPosition="0">
        <references count="1">
          <reference field="1" count="32">
            <x v="148"/>
            <x v="149"/>
            <x v="150"/>
            <x v="151"/>
            <x v="152"/>
            <x v="153"/>
            <x v="154"/>
            <x v="155"/>
            <x v="156"/>
            <x v="157"/>
            <x v="158"/>
            <x v="159"/>
            <x v="160"/>
            <x v="161"/>
            <x v="162"/>
            <x v="163"/>
            <x v="164"/>
            <x v="165"/>
            <x v="166"/>
            <x v="167"/>
            <x v="168"/>
            <x v="169"/>
            <x v="170"/>
            <x v="171"/>
            <x v="172"/>
            <x v="173"/>
            <x v="174"/>
            <x v="175"/>
            <x v="176"/>
            <x v="177"/>
            <x v="178"/>
            <x v="179"/>
          </reference>
        </references>
      </pivotArea>
    </format>
  </formats>
  <chartFormats count="4">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9E908A-25E7-4F9D-B6E8-2189D426672B}" name="PivotTable8" cacheId="3435" applyNumberFormats="0" applyBorderFormats="0" applyFontFormats="0" applyPatternFormats="0" applyAlignmentFormats="0" applyWidthHeightFormats="1" dataCaption="Values" tag="b19fcd54-7ef6-40f7-b62f-ab9e7fdfc593" updatedVersion="8" minRefreshableVersion="3" useAutoFormatting="1"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49">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1EA8C0-9F4E-4943-9E01-369B2446032F}" name="PivotTable11" cacheId="3441" applyNumberFormats="0" applyBorderFormats="0" applyFontFormats="0" applyPatternFormats="0" applyAlignmentFormats="0" applyWidthHeightFormats="1" dataCaption="Values" tag="b19fcd54-7ef6-40f7-b62f-ab9e7fdfc593" updatedVersion="8" minRefreshableVersion="3" showDrill="0" useAutoFormatting="1" subtotalHiddenItems="1" itemPrintTitles="1" createdVersion="5" indent="0" outline="1" outlineData="1" multipleFieldFilters="0" chartFormat="25">
  <location ref="I7:J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s>
    </pivotField>
    <pivotField dataField="1" subtotalTop="0" showAll="0" defaultSubtotal="0"/>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1" baseItem="1"/>
  </dataFields>
  <formats count="5">
    <format dxfId="844">
      <pivotArea collapsedLevelsAreSubtotals="1" fieldPosition="0">
        <references count="1">
          <reference field="1" count="0"/>
        </references>
      </pivotArea>
    </format>
    <format dxfId="845">
      <pivotArea dataOnly="0" labelOnly="1" fieldPosition="0">
        <references count="1">
          <reference field="1" count="50">
            <x v="0"/>
            <x v="1"/>
            <x v="2"/>
            <x v="3"/>
            <x v="4"/>
            <x v="5"/>
            <x v="6"/>
            <x v="7"/>
            <x v="8"/>
            <x v="9"/>
            <x v="10"/>
            <x v="11"/>
            <x v="12"/>
            <x v="13"/>
            <x v="14"/>
            <x v="15"/>
            <x v="16"/>
            <x v="17"/>
            <x v="18"/>
            <x v="29"/>
            <x v="30"/>
            <x v="31"/>
            <x v="32"/>
            <x v="33"/>
            <x v="34"/>
            <x v="35"/>
            <x v="36"/>
            <x v="37"/>
            <x v="38"/>
            <x v="39"/>
            <x v="40"/>
            <x v="41"/>
            <x v="42"/>
            <x v="43"/>
            <x v="44"/>
            <x v="45"/>
            <x v="46"/>
            <x v="47"/>
            <x v="48"/>
            <x v="49"/>
            <x v="50"/>
            <x v="51"/>
            <x v="52"/>
            <x v="53"/>
            <x v="54"/>
            <x v="55"/>
            <x v="56"/>
            <x v="57"/>
            <x v="58"/>
            <x v="59"/>
          </reference>
        </references>
      </pivotArea>
    </format>
    <format dxfId="846">
      <pivotArea dataOnly="0" labelOnly="1" fieldPosition="0">
        <references count="1">
          <reference field="1" count="50">
            <x v="19"/>
            <x v="20"/>
            <x v="21"/>
            <x v="22"/>
            <x v="23"/>
            <x v="24"/>
            <x v="25"/>
            <x v="26"/>
            <x v="27"/>
            <x v="28"/>
            <x v="60"/>
            <x v="61"/>
            <x v="62"/>
            <x v="63"/>
            <x v="64"/>
            <x v="65"/>
            <x v="66"/>
            <x v="67"/>
            <x v="68"/>
            <x v="90"/>
            <x v="91"/>
            <x v="92"/>
            <x v="93"/>
            <x v="94"/>
            <x v="95"/>
            <x v="96"/>
            <x v="97"/>
            <x v="98"/>
            <x v="99"/>
            <x v="100"/>
            <x v="101"/>
            <x v="102"/>
            <x v="103"/>
            <x v="104"/>
            <x v="105"/>
            <x v="106"/>
            <x v="107"/>
            <x v="108"/>
            <x v="109"/>
            <x v="110"/>
            <x v="111"/>
            <x v="112"/>
            <x v="113"/>
            <x v="114"/>
            <x v="115"/>
            <x v="116"/>
            <x v="117"/>
            <x v="118"/>
            <x v="119"/>
            <x v="120"/>
          </reference>
        </references>
      </pivotArea>
    </format>
    <format dxfId="847">
      <pivotArea dataOnly="0" labelOnly="1" fieldPosition="0">
        <references count="1">
          <reference field="1" count="50">
            <x v="69"/>
            <x v="70"/>
            <x v="71"/>
            <x v="72"/>
            <x v="73"/>
            <x v="74"/>
            <x v="75"/>
            <x v="76"/>
            <x v="77"/>
            <x v="78"/>
            <x v="79"/>
            <x v="80"/>
            <x v="81"/>
            <x v="82"/>
            <x v="83"/>
            <x v="84"/>
            <x v="85"/>
            <x v="86"/>
            <x v="87"/>
            <x v="88"/>
            <x v="89"/>
            <x v="121"/>
            <x v="122"/>
            <x v="123"/>
            <x v="124"/>
            <x v="125"/>
            <x v="126"/>
            <x v="127"/>
            <x v="128"/>
            <x v="129"/>
            <x v="130"/>
            <x v="131"/>
            <x v="132"/>
            <x v="133"/>
            <x v="134"/>
            <x v="135"/>
            <x v="136"/>
            <x v="137"/>
            <x v="138"/>
            <x v="139"/>
            <x v="140"/>
            <x v="141"/>
            <x v="142"/>
            <x v="143"/>
            <x v="144"/>
            <x v="145"/>
            <x v="146"/>
            <x v="147"/>
            <x v="148"/>
            <x v="149"/>
          </reference>
        </references>
      </pivotArea>
    </format>
    <format dxfId="848">
      <pivotArea dataOnly="0" labelOnly="1" fieldPosition="0">
        <references count="1">
          <reference field="1" count="32">
            <x v="150"/>
            <x v="151"/>
            <x v="152"/>
            <x v="153"/>
            <x v="154"/>
            <x v="155"/>
            <x v="156"/>
            <x v="157"/>
            <x v="158"/>
            <x v="159"/>
            <x v="160"/>
            <x v="161"/>
            <x v="162"/>
            <x v="163"/>
            <x v="164"/>
            <x v="165"/>
            <x v="166"/>
            <x v="167"/>
            <x v="168"/>
            <x v="169"/>
            <x v="170"/>
            <x v="171"/>
            <x v="172"/>
            <x v="173"/>
            <x v="174"/>
            <x v="175"/>
            <x v="176"/>
            <x v="177"/>
            <x v="178"/>
            <x v="179"/>
            <x v="180"/>
            <x v="181"/>
          </reference>
        </references>
      </pivotArea>
    </format>
  </format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3C6EEE-FE0C-4777-81E2-C43E63B74846}" name="PivotTable1" cacheId="3429" applyNumberFormats="0" applyBorderFormats="0" applyFontFormats="0" applyPatternFormats="0" applyAlignmentFormats="0" applyWidthHeightFormats="1" dataCaption="Values" tag="b19fcd54-7ef6-40f7-b62f-ab9e7fdfc593"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AD1ED8-32D6-4191-BF24-5E3D75BCB106}" name="PivotTable10" cacheId="3438" applyNumberFormats="0" applyBorderFormats="0" applyFontFormats="0" applyPatternFormats="0" applyAlignmentFormats="0" applyWidthHeightFormats="1" dataCaption="Values" tag="b19fcd54-7ef6-40f7-b62f-ab9e7fdfc593" updatedVersion="8" minRefreshableVersion="3" showDrill="0" useAutoFormatting="1" subtotalHiddenItems="1" itemPrintTitles="1" createdVersion="5" indent="0" outline="1" outlineData="1" multipleFieldFilters="0">
  <location ref="F7:G37"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2"/>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440C5B-B420-4CCB-90A4-D5DB5A8EB7EE}" name="PivotTable2" cacheId="3447" applyNumberFormats="0" applyBorderFormats="0" applyFontFormats="0" applyPatternFormats="0" applyAlignmentFormats="0" applyWidthHeightFormats="1" dataCaption="Values" tag="b19fcd54-7ef6-40f7-b62f-ab9e7fdfc593" updatedVersion="8" minRefreshableVersion="3" subtotalHiddenItems="1" itemPrintTitles="1" createdVersion="5" indent="0" outline="1" outlineData="1" multipleFieldFilters="0" chartFormat="42">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837">
      <pivotArea outline="0" collapsedLevelsAreSubtotals="1" fieldPosition="0"/>
    </format>
    <format dxfId="83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0" format="7">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66D85D-0B78-4551-9988-0BE636CA4D97}" name="PivotTable7" cacheId="3432" applyNumberFormats="0" applyBorderFormats="0" applyFontFormats="0" applyPatternFormats="0" applyAlignmentFormats="0" applyWidthHeightFormats="1" dataCaption="Values" tag="b19fcd54-7ef6-40f7-b62f-ab9e7fdfc593" updatedVersion="8" minRefreshableVersion="3" useAutoFormatting="1"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50">
      <pivotArea outline="0" collapsedLevelsAreSubtotals="1" fieldPosition="0"/>
    </format>
  </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617D91C-3A24-4943-B476-6ED04AB9C497}" name="PivotTable9" cacheId="3426" applyNumberFormats="0" applyBorderFormats="0" applyFontFormats="0" applyPatternFormats="0" applyAlignmentFormats="0" applyWidthHeightFormats="1" dataCaption="Values" tag="b19fcd54-7ef6-40f7-b62f-ab9e7fdfc593" updatedVersion="8" minRefreshableVersion="3" useAutoFormatting="1" subtotalHiddenItems="1" itemPrintTitles="1" createdVersion="5" indent="0" outline="1" outlineData="1" multipleFieldFilters="0" chartFormat="20">
  <location ref="C4:D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4"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29"/>
          </reference>
        </references>
      </pivotArea>
    </chartFormat>
    <chartFormat chart="8" format="7">
      <pivotArea type="data" outline="0" fieldPosition="0">
        <references count="2">
          <reference field="4294967294" count="1" selected="0">
            <x v="0"/>
          </reference>
          <reference field="1" count="1" selected="0">
            <x v="30"/>
          </reference>
        </references>
      </pivotArea>
    </chartFormat>
  </chartFormats>
  <pivotHierarchies count="35">
    <pivotHierarchy dragToData="1"/>
    <pivotHierarchy multipleItemSelectionAllowed="1" dragToData="1">
      <members count="1" level="1">
        <member name="[Calendar_Table].[Date (Month)].&amp;[Feb]"/>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E429E5B-A95D-4AE0-842D-5FC5E780C714}" sourceName="[Calendar_Table].[Date (Month)]">
  <pivotTables>
    <pivotTable tabId="1" name="PivotTable9"/>
    <pivotTable tabId="1" name="PivotTable1"/>
    <pivotTable tabId="1" name="PivotTable7"/>
    <pivotTable tabId="1" name="PivotTable8"/>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13"/>
  </pivotTables>
  <data>
    <olap pivotCacheId="117252992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1D7C04C-F198-4DD4-9B2F-074A02223850}"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7252992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CDE705F-FF69-431F-B0CA-98DAA734829D}" cache="Slicer_Date__Month" caption="Date (Month)" showCaption="0" level="1" style="my style 2" rowHeight="129600"/>
  <slicer name="Date (Year)" xr10:uid="{01F7048A-75C7-40DE-812D-91A4CDA6A986}" cache="Slicer_Date__Year" caption="Date (Year)" showCaption="0" level="1" style="my style 2"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1EC0-6669-4FCA-9378-ACC3AFCE21D0}">
  <dimension ref="A4:M104"/>
  <sheetViews>
    <sheetView topLeftCell="A39" zoomScaleNormal="100" workbookViewId="0">
      <selection activeCell="H47" sqref="H47"/>
    </sheetView>
  </sheetViews>
  <sheetFormatPr defaultRowHeight="14.4" x14ac:dyDescent="0.3"/>
  <cols>
    <col min="1" max="1" width="32.44140625" bestFit="1" customWidth="1"/>
    <col min="2" max="2" width="19.77734375" customWidth="1"/>
    <col min="3" max="3" width="12.5546875" bestFit="1" customWidth="1"/>
    <col min="4" max="4" width="23.88671875" bestFit="1" customWidth="1"/>
    <col min="5" max="5" width="10.5546875" customWidth="1"/>
    <col min="6" max="6" width="12.5546875" bestFit="1" customWidth="1"/>
    <col min="7" max="7" width="23.88671875" bestFit="1" customWidth="1"/>
    <col min="9" max="9" width="12.5546875" bestFit="1" customWidth="1"/>
    <col min="10" max="10" width="25" bestFit="1" customWidth="1"/>
    <col min="11" max="11" width="21.88671875" bestFit="1" customWidth="1"/>
    <col min="12" max="12" width="12.5546875" bestFit="1" customWidth="1"/>
    <col min="13" max="13" width="32.44140625" bestFit="1" customWidth="1"/>
  </cols>
  <sheetData>
    <row r="4" spans="1:13" x14ac:dyDescent="0.3">
      <c r="A4" t="s">
        <v>0</v>
      </c>
      <c r="C4" s="1" t="s">
        <v>3</v>
      </c>
      <c r="D4" t="s">
        <v>0</v>
      </c>
    </row>
    <row r="5" spans="1:13" x14ac:dyDescent="0.3">
      <c r="A5" s="15">
        <v>431</v>
      </c>
      <c r="C5" s="4" t="s">
        <v>15</v>
      </c>
      <c r="D5" s="15">
        <v>13</v>
      </c>
    </row>
    <row r="6" spans="1:13" x14ac:dyDescent="0.3">
      <c r="C6" s="4" t="s">
        <v>16</v>
      </c>
      <c r="D6" s="15">
        <v>10</v>
      </c>
      <c r="F6" t="s">
        <v>7</v>
      </c>
      <c r="I6" t="s">
        <v>5</v>
      </c>
      <c r="L6" t="s">
        <v>6</v>
      </c>
    </row>
    <row r="7" spans="1:13" x14ac:dyDescent="0.3">
      <c r="C7" s="4" t="s">
        <v>17</v>
      </c>
      <c r="D7" s="15">
        <v>8</v>
      </c>
      <c r="F7" s="1" t="s">
        <v>3</v>
      </c>
      <c r="G7" t="s">
        <v>0</v>
      </c>
      <c r="I7" s="1" t="s">
        <v>3</v>
      </c>
      <c r="J7" t="s">
        <v>1</v>
      </c>
      <c r="L7" s="1" t="s">
        <v>3</v>
      </c>
      <c r="M7" t="s">
        <v>2</v>
      </c>
    </row>
    <row r="8" spans="1:13" x14ac:dyDescent="0.3">
      <c r="C8" s="4" t="s">
        <v>18</v>
      </c>
      <c r="D8" s="15">
        <v>12</v>
      </c>
      <c r="F8" s="4" t="s">
        <v>15</v>
      </c>
      <c r="G8" s="15">
        <v>13</v>
      </c>
      <c r="I8" s="7" t="s">
        <v>15</v>
      </c>
      <c r="J8" s="2">
        <v>35.692307692307693</v>
      </c>
      <c r="L8" s="7" t="s">
        <v>15</v>
      </c>
      <c r="M8" s="2">
        <v>4.166666666666667</v>
      </c>
    </row>
    <row r="9" spans="1:13" x14ac:dyDescent="0.3">
      <c r="A9" t="s">
        <v>1</v>
      </c>
      <c r="C9" s="4" t="s">
        <v>19</v>
      </c>
      <c r="D9" s="15">
        <v>19</v>
      </c>
      <c r="F9" s="4" t="s">
        <v>16</v>
      </c>
      <c r="G9" s="15">
        <v>10</v>
      </c>
      <c r="I9" s="7" t="s">
        <v>16</v>
      </c>
      <c r="J9" s="2">
        <v>45.4</v>
      </c>
      <c r="L9" s="7" t="s">
        <v>16</v>
      </c>
      <c r="M9" s="2">
        <v>5.75</v>
      </c>
    </row>
    <row r="10" spans="1:13" x14ac:dyDescent="0.3">
      <c r="A10" s="2">
        <v>36.670533642691417</v>
      </c>
      <c r="C10" s="4" t="s">
        <v>20</v>
      </c>
      <c r="D10" s="15">
        <v>9</v>
      </c>
      <c r="F10" s="4" t="s">
        <v>17</v>
      </c>
      <c r="G10" s="15">
        <v>8</v>
      </c>
      <c r="I10" s="7" t="s">
        <v>17</v>
      </c>
      <c r="J10" s="2">
        <v>29.375</v>
      </c>
      <c r="L10" s="7" t="s">
        <v>17</v>
      </c>
      <c r="M10" s="2">
        <v>4.75</v>
      </c>
    </row>
    <row r="11" spans="1:13" x14ac:dyDescent="0.3">
      <c r="C11" s="4" t="s">
        <v>21</v>
      </c>
      <c r="D11" s="15">
        <v>13</v>
      </c>
      <c r="F11" s="4" t="s">
        <v>18</v>
      </c>
      <c r="G11" s="15">
        <v>12</v>
      </c>
      <c r="I11" s="7" t="s">
        <v>18</v>
      </c>
      <c r="J11" s="2">
        <v>34.583333333333336</v>
      </c>
      <c r="L11" s="7" t="s">
        <v>18</v>
      </c>
      <c r="M11" s="2">
        <v>7</v>
      </c>
    </row>
    <row r="12" spans="1:13" x14ac:dyDescent="0.3">
      <c r="C12" s="4" t="s">
        <v>22</v>
      </c>
      <c r="D12" s="15">
        <v>19</v>
      </c>
      <c r="F12" s="4" t="s">
        <v>19</v>
      </c>
      <c r="G12" s="15">
        <v>19</v>
      </c>
      <c r="I12" s="7" t="s">
        <v>19</v>
      </c>
      <c r="J12" s="2">
        <v>38.684210526315788</v>
      </c>
      <c r="L12" s="7" t="s">
        <v>19</v>
      </c>
      <c r="M12" s="2">
        <v>3.1428571428571428</v>
      </c>
    </row>
    <row r="13" spans="1:13" x14ac:dyDescent="0.3">
      <c r="C13" s="4" t="s">
        <v>23</v>
      </c>
      <c r="D13" s="15">
        <v>10</v>
      </c>
      <c r="F13" s="4" t="s">
        <v>20</v>
      </c>
      <c r="G13" s="15">
        <v>9</v>
      </c>
      <c r="I13" s="7" t="s">
        <v>20</v>
      </c>
      <c r="J13" s="2">
        <v>34.777777777777779</v>
      </c>
      <c r="L13" s="7" t="s">
        <v>20</v>
      </c>
      <c r="M13" s="2">
        <v>8</v>
      </c>
    </row>
    <row r="14" spans="1:13" x14ac:dyDescent="0.3">
      <c r="A14" t="s">
        <v>2</v>
      </c>
      <c r="C14" s="4" t="s">
        <v>24</v>
      </c>
      <c r="D14" s="15">
        <v>20</v>
      </c>
      <c r="F14" s="4" t="s">
        <v>21</v>
      </c>
      <c r="G14" s="15">
        <v>13</v>
      </c>
      <c r="I14" s="7" t="s">
        <v>21</v>
      </c>
      <c r="J14" s="2">
        <v>37.307692307692307</v>
      </c>
      <c r="L14" s="7" t="s">
        <v>21</v>
      </c>
      <c r="M14" s="2">
        <v>5.25</v>
      </c>
    </row>
    <row r="15" spans="1:13" x14ac:dyDescent="0.3">
      <c r="A15" s="2">
        <v>4.7154471544715451</v>
      </c>
      <c r="C15" s="4" t="s">
        <v>25</v>
      </c>
      <c r="D15" s="15">
        <v>15</v>
      </c>
      <c r="F15" s="4" t="s">
        <v>22</v>
      </c>
      <c r="G15" s="15">
        <v>19</v>
      </c>
      <c r="I15" s="7" t="s">
        <v>22</v>
      </c>
      <c r="J15" s="2">
        <v>35.631578947368418</v>
      </c>
      <c r="L15" s="7" t="s">
        <v>22</v>
      </c>
      <c r="M15" s="2">
        <v>4.5714285714285712</v>
      </c>
    </row>
    <row r="16" spans="1:13" x14ac:dyDescent="0.3">
      <c r="C16" s="4" t="s">
        <v>26</v>
      </c>
      <c r="D16" s="15">
        <v>13</v>
      </c>
      <c r="F16" s="4" t="s">
        <v>23</v>
      </c>
      <c r="G16" s="15">
        <v>10</v>
      </c>
      <c r="I16" s="7" t="s">
        <v>23</v>
      </c>
      <c r="J16" s="2">
        <v>36.6</v>
      </c>
      <c r="L16" s="7" t="s">
        <v>23</v>
      </c>
      <c r="M16" s="2">
        <v>2.75</v>
      </c>
    </row>
    <row r="17" spans="3:13" x14ac:dyDescent="0.3">
      <c r="C17" s="4" t="s">
        <v>27</v>
      </c>
      <c r="D17" s="15">
        <v>9</v>
      </c>
      <c r="F17" s="4" t="s">
        <v>24</v>
      </c>
      <c r="G17" s="15">
        <v>20</v>
      </c>
      <c r="I17" s="7" t="s">
        <v>24</v>
      </c>
      <c r="J17" s="2">
        <v>39.700000000000003</v>
      </c>
      <c r="L17" s="7" t="s">
        <v>24</v>
      </c>
      <c r="M17" s="2">
        <v>4.5</v>
      </c>
    </row>
    <row r="18" spans="3:13" x14ac:dyDescent="0.3">
      <c r="C18" s="4" t="s">
        <v>28</v>
      </c>
      <c r="D18" s="15">
        <v>19</v>
      </c>
      <c r="F18" s="4" t="s">
        <v>25</v>
      </c>
      <c r="G18" s="15">
        <v>15</v>
      </c>
      <c r="I18" s="7" t="s">
        <v>25</v>
      </c>
      <c r="J18" s="2">
        <v>37.4</v>
      </c>
      <c r="L18" s="7" t="s">
        <v>25</v>
      </c>
      <c r="M18" s="2">
        <v>5.5</v>
      </c>
    </row>
    <row r="19" spans="3:13" x14ac:dyDescent="0.3">
      <c r="C19" s="4" t="s">
        <v>29</v>
      </c>
      <c r="D19" s="15">
        <v>14</v>
      </c>
      <c r="F19" s="4" t="s">
        <v>26</v>
      </c>
      <c r="G19" s="15">
        <v>13</v>
      </c>
      <c r="I19" s="7" t="s">
        <v>26</v>
      </c>
      <c r="J19" s="2">
        <v>27.76923076923077</v>
      </c>
      <c r="L19" s="7" t="s">
        <v>26</v>
      </c>
      <c r="M19" s="2">
        <v>5.6</v>
      </c>
    </row>
    <row r="20" spans="3:13" x14ac:dyDescent="0.3">
      <c r="C20" s="4" t="s">
        <v>30</v>
      </c>
      <c r="D20" s="15">
        <v>17</v>
      </c>
      <c r="F20" s="4" t="s">
        <v>27</v>
      </c>
      <c r="G20" s="15">
        <v>9</v>
      </c>
      <c r="I20" s="7" t="s">
        <v>27</v>
      </c>
      <c r="J20" s="2">
        <v>38.777777777777779</v>
      </c>
      <c r="L20" s="7" t="s">
        <v>27</v>
      </c>
      <c r="M20" s="2">
        <v>5.75</v>
      </c>
    </row>
    <row r="21" spans="3:13" x14ac:dyDescent="0.3">
      <c r="C21" s="4" t="s">
        <v>31</v>
      </c>
      <c r="D21" s="15">
        <v>17</v>
      </c>
      <c r="F21" s="4" t="s">
        <v>28</v>
      </c>
      <c r="G21" s="15">
        <v>19</v>
      </c>
      <c r="I21" s="7" t="s">
        <v>28</v>
      </c>
      <c r="J21" s="2">
        <v>31</v>
      </c>
      <c r="L21" s="7" t="s">
        <v>28</v>
      </c>
      <c r="M21" s="2">
        <v>3.4444444444444446</v>
      </c>
    </row>
    <row r="22" spans="3:13" x14ac:dyDescent="0.3">
      <c r="C22" s="4" t="s">
        <v>32</v>
      </c>
      <c r="D22" s="15">
        <v>15</v>
      </c>
      <c r="F22" s="4" t="s">
        <v>29</v>
      </c>
      <c r="G22" s="15">
        <v>14</v>
      </c>
      <c r="I22" s="7" t="s">
        <v>29</v>
      </c>
      <c r="J22" s="2">
        <v>35.928571428571431</v>
      </c>
      <c r="L22" s="7" t="s">
        <v>29</v>
      </c>
      <c r="M22" s="2">
        <v>1.5</v>
      </c>
    </row>
    <row r="23" spans="3:13" x14ac:dyDescent="0.3">
      <c r="C23" s="4" t="s">
        <v>33</v>
      </c>
      <c r="D23" s="15">
        <v>9</v>
      </c>
      <c r="F23" s="4" t="s">
        <v>30</v>
      </c>
      <c r="G23" s="15">
        <v>17</v>
      </c>
      <c r="I23" s="7" t="s">
        <v>30</v>
      </c>
      <c r="J23" s="2">
        <v>37.882352941176471</v>
      </c>
      <c r="L23" s="7" t="s">
        <v>30</v>
      </c>
      <c r="M23" s="2">
        <v>3.6666666666666665</v>
      </c>
    </row>
    <row r="24" spans="3:13" x14ac:dyDescent="0.3">
      <c r="C24" s="4" t="s">
        <v>34</v>
      </c>
      <c r="D24" s="15">
        <v>14</v>
      </c>
      <c r="F24" s="4" t="s">
        <v>31</v>
      </c>
      <c r="G24" s="15">
        <v>17</v>
      </c>
      <c r="I24" s="7" t="s">
        <v>31</v>
      </c>
      <c r="J24" s="2">
        <v>40.588235294117645</v>
      </c>
      <c r="L24" s="7" t="s">
        <v>31</v>
      </c>
      <c r="M24" s="2">
        <v>4.4285714285714288</v>
      </c>
    </row>
    <row r="25" spans="3:13" x14ac:dyDescent="0.3">
      <c r="C25" s="4" t="s">
        <v>35</v>
      </c>
      <c r="D25" s="15">
        <v>22</v>
      </c>
      <c r="F25" s="4" t="s">
        <v>32</v>
      </c>
      <c r="G25" s="15">
        <v>15</v>
      </c>
      <c r="I25" s="7" t="s">
        <v>32</v>
      </c>
      <c r="J25" s="2">
        <v>34.533333333333331</v>
      </c>
      <c r="L25" s="7" t="s">
        <v>32</v>
      </c>
      <c r="M25" s="2">
        <v>6</v>
      </c>
    </row>
    <row r="26" spans="3:13" x14ac:dyDescent="0.3">
      <c r="C26" s="4" t="s">
        <v>36</v>
      </c>
      <c r="D26" s="15">
        <v>16</v>
      </c>
      <c r="F26" s="4" t="s">
        <v>33</v>
      </c>
      <c r="G26" s="15">
        <v>9</v>
      </c>
      <c r="I26" s="7" t="s">
        <v>33</v>
      </c>
      <c r="J26" s="2">
        <v>40.333333333333336</v>
      </c>
      <c r="L26" s="7" t="s">
        <v>33</v>
      </c>
      <c r="M26" s="2">
        <v>2.6666666666666665</v>
      </c>
    </row>
    <row r="27" spans="3:13" x14ac:dyDescent="0.3">
      <c r="C27" s="4" t="s">
        <v>37</v>
      </c>
      <c r="D27" s="15">
        <v>22</v>
      </c>
      <c r="F27" s="4" t="s">
        <v>34</v>
      </c>
      <c r="G27" s="15">
        <v>14</v>
      </c>
      <c r="I27" s="7" t="s">
        <v>34</v>
      </c>
      <c r="J27" s="2">
        <v>35.285714285714285</v>
      </c>
      <c r="L27" s="7" t="s">
        <v>34</v>
      </c>
      <c r="M27" s="2">
        <v>7.5</v>
      </c>
    </row>
    <row r="28" spans="3:13" x14ac:dyDescent="0.3">
      <c r="C28" s="4" t="s">
        <v>38</v>
      </c>
      <c r="D28" s="15">
        <v>12</v>
      </c>
      <c r="F28" s="4" t="s">
        <v>35</v>
      </c>
      <c r="G28" s="15">
        <v>22</v>
      </c>
      <c r="I28" s="7" t="s">
        <v>35</v>
      </c>
      <c r="J28" s="2">
        <v>35.5</v>
      </c>
      <c r="L28" s="7" t="s">
        <v>35</v>
      </c>
      <c r="M28" s="2">
        <v>4.5</v>
      </c>
    </row>
    <row r="29" spans="3:13" x14ac:dyDescent="0.3">
      <c r="C29" s="4" t="s">
        <v>39</v>
      </c>
      <c r="D29" s="15">
        <v>20</v>
      </c>
      <c r="F29" s="4" t="s">
        <v>36</v>
      </c>
      <c r="G29" s="15">
        <v>16</v>
      </c>
      <c r="I29" s="7" t="s">
        <v>36</v>
      </c>
      <c r="J29" s="2">
        <v>38.5625</v>
      </c>
      <c r="L29" s="7" t="s">
        <v>36</v>
      </c>
      <c r="M29" s="2">
        <v>8</v>
      </c>
    </row>
    <row r="30" spans="3:13" x14ac:dyDescent="0.3">
      <c r="C30" s="4" t="s">
        <v>40</v>
      </c>
      <c r="D30" s="15">
        <v>18</v>
      </c>
      <c r="F30" s="4" t="s">
        <v>37</v>
      </c>
      <c r="G30" s="15">
        <v>22</v>
      </c>
      <c r="I30" s="7" t="s">
        <v>37</v>
      </c>
      <c r="J30" s="2">
        <v>42.727272727272727</v>
      </c>
      <c r="L30" s="7" t="s">
        <v>37</v>
      </c>
      <c r="M30" s="2">
        <v>4.3636363636363633</v>
      </c>
    </row>
    <row r="31" spans="3:13" x14ac:dyDescent="0.3">
      <c r="C31" s="4" t="s">
        <v>41</v>
      </c>
      <c r="D31" s="15">
        <v>18</v>
      </c>
      <c r="F31" s="4" t="s">
        <v>38</v>
      </c>
      <c r="G31" s="15">
        <v>12</v>
      </c>
      <c r="I31" s="7" t="s">
        <v>38</v>
      </c>
      <c r="J31" s="2">
        <v>37.416666666666664</v>
      </c>
      <c r="L31" s="7" t="s">
        <v>38</v>
      </c>
      <c r="M31" s="2">
        <v>0</v>
      </c>
    </row>
    <row r="32" spans="3:13" x14ac:dyDescent="0.3">
      <c r="C32" s="4" t="s">
        <v>42</v>
      </c>
      <c r="D32" s="15">
        <v>13</v>
      </c>
      <c r="F32" s="4" t="s">
        <v>39</v>
      </c>
      <c r="G32" s="15">
        <v>20</v>
      </c>
      <c r="I32" s="7" t="s">
        <v>39</v>
      </c>
      <c r="J32" s="2">
        <v>32.450000000000003</v>
      </c>
      <c r="L32" s="7" t="s">
        <v>39</v>
      </c>
      <c r="M32" s="2">
        <v>10</v>
      </c>
    </row>
    <row r="33" spans="1:13" x14ac:dyDescent="0.3">
      <c r="C33" s="4" t="s">
        <v>43</v>
      </c>
      <c r="D33" s="15">
        <v>15</v>
      </c>
      <c r="F33" s="4" t="s">
        <v>40</v>
      </c>
      <c r="G33" s="15">
        <v>18</v>
      </c>
      <c r="I33" s="7" t="s">
        <v>40</v>
      </c>
      <c r="J33" s="2">
        <v>40.055555555555557</v>
      </c>
      <c r="L33" s="7" t="s">
        <v>41</v>
      </c>
      <c r="M33" s="2">
        <v>6.75</v>
      </c>
    </row>
    <row r="34" spans="1:13" x14ac:dyDescent="0.3">
      <c r="C34" s="4" t="s">
        <v>4</v>
      </c>
      <c r="D34" s="15">
        <v>431</v>
      </c>
      <c r="F34" s="4" t="s">
        <v>41</v>
      </c>
      <c r="G34" s="15">
        <v>18</v>
      </c>
      <c r="I34" s="7" t="s">
        <v>41</v>
      </c>
      <c r="J34" s="2">
        <v>31.666666666666668</v>
      </c>
      <c r="L34" s="7" t="s">
        <v>42</v>
      </c>
      <c r="M34" s="2">
        <v>7</v>
      </c>
    </row>
    <row r="35" spans="1:13" x14ac:dyDescent="0.3">
      <c r="F35" s="4" t="s">
        <v>42</v>
      </c>
      <c r="G35" s="15">
        <v>13</v>
      </c>
      <c r="I35" s="7" t="s">
        <v>42</v>
      </c>
      <c r="J35" s="2">
        <v>39.769230769230766</v>
      </c>
      <c r="L35" s="7" t="s">
        <v>43</v>
      </c>
      <c r="M35" s="2">
        <v>3.3333333333333335</v>
      </c>
    </row>
    <row r="36" spans="1:13" x14ac:dyDescent="0.3">
      <c r="F36" s="4" t="s">
        <v>43</v>
      </c>
      <c r="G36" s="15">
        <v>15</v>
      </c>
      <c r="I36" s="7" t="s">
        <v>43</v>
      </c>
      <c r="J36" s="2">
        <v>36.733333333333334</v>
      </c>
      <c r="L36" s="4" t="s">
        <v>4</v>
      </c>
      <c r="M36" s="15">
        <v>4.7154471544715451</v>
      </c>
    </row>
    <row r="37" spans="1:13" x14ac:dyDescent="0.3">
      <c r="F37" s="4" t="s">
        <v>4</v>
      </c>
      <c r="G37" s="15">
        <v>431</v>
      </c>
      <c r="I37" s="4" t="s">
        <v>4</v>
      </c>
      <c r="J37" s="15">
        <v>36.670533642691417</v>
      </c>
    </row>
    <row r="44" spans="1:13" x14ac:dyDescent="0.3">
      <c r="A44" s="1" t="s">
        <v>3</v>
      </c>
      <c r="B44" t="s">
        <v>8</v>
      </c>
      <c r="C44" t="s">
        <v>11</v>
      </c>
    </row>
    <row r="45" spans="1:13" x14ac:dyDescent="0.3">
      <c r="A45" s="4" t="s">
        <v>9</v>
      </c>
      <c r="B45" s="2">
        <v>224</v>
      </c>
      <c r="C45" s="6">
        <v>0.51972157772621808</v>
      </c>
    </row>
    <row r="46" spans="1:13" x14ac:dyDescent="0.3">
      <c r="A46" s="4" t="s">
        <v>10</v>
      </c>
      <c r="B46" s="2">
        <v>207</v>
      </c>
      <c r="C46" s="6">
        <v>0.48027842227378192</v>
      </c>
    </row>
    <row r="47" spans="1:13" x14ac:dyDescent="0.3">
      <c r="A47" s="4" t="s">
        <v>4</v>
      </c>
      <c r="B47" s="2">
        <v>431</v>
      </c>
      <c r="C47" s="6">
        <v>1</v>
      </c>
    </row>
    <row r="54" spans="1:4" x14ac:dyDescent="0.3">
      <c r="A54" s="8" t="s">
        <v>12</v>
      </c>
      <c r="B54" s="8" t="s">
        <v>14</v>
      </c>
      <c r="C54" s="8" t="s">
        <v>13</v>
      </c>
      <c r="D54" s="9"/>
    </row>
    <row r="55" spans="1:4" x14ac:dyDescent="0.3">
      <c r="A55" s="10" t="str">
        <f>A46</f>
        <v>Not Admitted</v>
      </c>
      <c r="B55" s="11">
        <f>B46</f>
        <v>207</v>
      </c>
      <c r="C55" s="12">
        <f>C46</f>
        <v>0.48027842227378192</v>
      </c>
      <c r="D55" s="13"/>
    </row>
    <row r="56" spans="1:4" x14ac:dyDescent="0.3">
      <c r="A56" s="10" t="str">
        <f>A45</f>
        <v>Admitted</v>
      </c>
      <c r="B56" s="11">
        <f>B45</f>
        <v>224</v>
      </c>
      <c r="C56" s="12">
        <f>C45</f>
        <v>0.51972157772621808</v>
      </c>
      <c r="D56" s="13"/>
    </row>
    <row r="57" spans="1:4" x14ac:dyDescent="0.3">
      <c r="A57" s="14"/>
      <c r="B57" s="14"/>
      <c r="C57" s="14"/>
      <c r="D57" s="14"/>
    </row>
    <row r="59" spans="1:4" x14ac:dyDescent="0.3">
      <c r="A59" t="s">
        <v>53</v>
      </c>
    </row>
    <row r="60" spans="1:4" x14ac:dyDescent="0.3">
      <c r="A60" s="1" t="s">
        <v>3</v>
      </c>
      <c r="B60" t="s">
        <v>52</v>
      </c>
    </row>
    <row r="61" spans="1:4" x14ac:dyDescent="0.3">
      <c r="A61" s="4" t="s">
        <v>44</v>
      </c>
      <c r="B61" s="16">
        <v>42</v>
      </c>
    </row>
    <row r="62" spans="1:4" x14ac:dyDescent="0.3">
      <c r="A62" s="4" t="s">
        <v>45</v>
      </c>
      <c r="B62" s="16">
        <v>46</v>
      </c>
    </row>
    <row r="63" spans="1:4" x14ac:dyDescent="0.3">
      <c r="A63" s="4" t="s">
        <v>46</v>
      </c>
      <c r="B63" s="16">
        <v>54</v>
      </c>
    </row>
    <row r="64" spans="1:4" x14ac:dyDescent="0.3">
      <c r="A64" s="4" t="s">
        <v>47</v>
      </c>
      <c r="B64" s="16">
        <v>68</v>
      </c>
    </row>
    <row r="65" spans="1:2" x14ac:dyDescent="0.3">
      <c r="A65" s="4" t="s">
        <v>48</v>
      </c>
      <c r="B65" s="16">
        <v>62</v>
      </c>
    </row>
    <row r="66" spans="1:2" x14ac:dyDescent="0.3">
      <c r="A66" s="4" t="s">
        <v>49</v>
      </c>
      <c r="B66" s="16">
        <v>52</v>
      </c>
    </row>
    <row r="67" spans="1:2" x14ac:dyDescent="0.3">
      <c r="A67" s="4" t="s">
        <v>50</v>
      </c>
      <c r="B67" s="16">
        <v>54</v>
      </c>
    </row>
    <row r="68" spans="1:2" x14ac:dyDescent="0.3">
      <c r="A68" s="4" t="s">
        <v>51</v>
      </c>
      <c r="B68" s="16">
        <v>53</v>
      </c>
    </row>
    <row r="69" spans="1:2" x14ac:dyDescent="0.3">
      <c r="A69" s="4" t="s">
        <v>4</v>
      </c>
      <c r="B69" s="2">
        <v>431</v>
      </c>
    </row>
    <row r="73" spans="1:2" x14ac:dyDescent="0.3">
      <c r="A73" t="s">
        <v>57</v>
      </c>
    </row>
    <row r="74" spans="1:2" x14ac:dyDescent="0.3">
      <c r="A74" s="1" t="s">
        <v>3</v>
      </c>
      <c r="B74" t="s">
        <v>56</v>
      </c>
    </row>
    <row r="75" spans="1:2" x14ac:dyDescent="0.3">
      <c r="A75" s="4" t="s">
        <v>55</v>
      </c>
      <c r="B75" s="16">
        <v>285</v>
      </c>
    </row>
    <row r="76" spans="1:2" x14ac:dyDescent="0.3">
      <c r="A76" s="4" t="s">
        <v>54</v>
      </c>
      <c r="B76" s="16">
        <v>146</v>
      </c>
    </row>
    <row r="77" spans="1:2" x14ac:dyDescent="0.3">
      <c r="A77" s="4" t="s">
        <v>4</v>
      </c>
      <c r="B77" s="2">
        <v>431</v>
      </c>
    </row>
    <row r="80" spans="1:2" x14ac:dyDescent="0.3">
      <c r="A80" s="4" t="s">
        <v>61</v>
      </c>
    </row>
    <row r="81" spans="1:2" x14ac:dyDescent="0.3">
      <c r="A81" s="1" t="s">
        <v>3</v>
      </c>
      <c r="B81" t="s">
        <v>60</v>
      </c>
    </row>
    <row r="82" spans="1:2" x14ac:dyDescent="0.3">
      <c r="A82" s="4" t="s">
        <v>58</v>
      </c>
      <c r="B82" s="2">
        <v>194</v>
      </c>
    </row>
    <row r="83" spans="1:2" x14ac:dyDescent="0.3">
      <c r="A83" s="4" t="s">
        <v>59</v>
      </c>
      <c r="B83" s="2">
        <v>237</v>
      </c>
    </row>
    <row r="84" spans="1:2" x14ac:dyDescent="0.3">
      <c r="A84" s="4" t="s">
        <v>4</v>
      </c>
      <c r="B84" s="2">
        <v>431</v>
      </c>
    </row>
    <row r="88" spans="1:2" x14ac:dyDescent="0.3">
      <c r="A88" s="1" t="s">
        <v>3</v>
      </c>
      <c r="B88" t="s">
        <v>70</v>
      </c>
    </row>
    <row r="89" spans="1:2" x14ac:dyDescent="0.3">
      <c r="A89" s="4" t="s">
        <v>62</v>
      </c>
      <c r="B89" s="16">
        <v>12</v>
      </c>
    </row>
    <row r="90" spans="1:2" x14ac:dyDescent="0.3">
      <c r="A90" s="4" t="s">
        <v>63</v>
      </c>
      <c r="B90" s="16">
        <v>6</v>
      </c>
    </row>
    <row r="91" spans="1:2" x14ac:dyDescent="0.3">
      <c r="A91" s="4" t="s">
        <v>64</v>
      </c>
      <c r="B91" s="16">
        <v>89</v>
      </c>
    </row>
    <row r="92" spans="1:2" x14ac:dyDescent="0.3">
      <c r="A92" s="4" t="s">
        <v>65</v>
      </c>
      <c r="B92" s="16">
        <v>6</v>
      </c>
    </row>
    <row r="93" spans="1:2" x14ac:dyDescent="0.3">
      <c r="A93" s="4" t="s">
        <v>66</v>
      </c>
      <c r="B93" s="16">
        <v>252</v>
      </c>
    </row>
    <row r="94" spans="1:2" x14ac:dyDescent="0.3">
      <c r="A94" s="4" t="s">
        <v>67</v>
      </c>
      <c r="B94" s="16">
        <v>46</v>
      </c>
    </row>
    <row r="95" spans="1:2" x14ac:dyDescent="0.3">
      <c r="A95" s="4" t="s">
        <v>68</v>
      </c>
      <c r="B95" s="16">
        <v>14</v>
      </c>
    </row>
    <row r="96" spans="1:2" x14ac:dyDescent="0.3">
      <c r="A96" s="4" t="s">
        <v>69</v>
      </c>
      <c r="B96" s="16">
        <v>6</v>
      </c>
    </row>
    <row r="97" spans="1:2" x14ac:dyDescent="0.3">
      <c r="A97" s="4" t="s">
        <v>4</v>
      </c>
      <c r="B97" s="2">
        <v>431</v>
      </c>
    </row>
    <row r="102" spans="1:2" x14ac:dyDescent="0.3">
      <c r="A102" s="1" t="s">
        <v>3</v>
      </c>
    </row>
    <row r="103" spans="1:2" x14ac:dyDescent="0.3">
      <c r="A103" s="4" t="s">
        <v>71</v>
      </c>
    </row>
    <row r="104" spans="1:2" x14ac:dyDescent="0.3">
      <c r="A104" s="4" t="s">
        <v>4</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FAF5C-1F95-4FC5-A8FC-5C5F7434B42A}">
  <dimension ref="A1:M16"/>
  <sheetViews>
    <sheetView tabSelected="1" zoomScale="175" zoomScaleNormal="175" workbookViewId="0">
      <selection activeCell="L3" sqref="L3"/>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1E0D6-3BED-43F9-9268-110446D51414}">
  <dimension ref="A1:V27"/>
  <sheetViews>
    <sheetView zoomScale="85" zoomScaleNormal="85" workbookViewId="0">
      <selection activeCell="F3" sqref="F3"/>
    </sheetView>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ABA39333-AE64-4DBA-B189-DD5B307AF2FD}">
  <ds:schemaRefs/>
</ds:datastoreItem>
</file>

<file path=customXml/itemProps2.xml><?xml version="1.0" encoding="utf-8"?>
<ds:datastoreItem xmlns:ds="http://schemas.openxmlformats.org/officeDocument/2006/customXml" ds:itemID="{866B0E5B-65EC-4E18-A515-736F6FD4514B}">
  <ds:schemaRefs/>
</ds:datastoreItem>
</file>

<file path=customXml/itemProps3.xml><?xml version="1.0" encoding="utf-8"?>
<ds:datastoreItem xmlns:ds="http://schemas.openxmlformats.org/officeDocument/2006/customXml" ds:itemID="{3C54395A-FB3F-416D-9BDB-D57786A1FC3A}">
  <ds:schemaRefs/>
</ds:datastoreItem>
</file>

<file path=customXml/itemProps4.xml><?xml version="1.0" encoding="utf-8"?>
<ds:datastoreItem xmlns:ds="http://schemas.openxmlformats.org/officeDocument/2006/customXml" ds:itemID="{F7623CFC-83DB-4B63-8804-1D75CAAC8762}">
  <ds:schemaRefs/>
</ds:datastoreItem>
</file>

<file path=customXml/itemProps5.xml><?xml version="1.0" encoding="utf-8"?>
<ds:datastoreItem xmlns:ds="http://schemas.openxmlformats.org/officeDocument/2006/customXml" ds:itemID="{B8A53555-F9C0-4440-8337-7CF02FD23449}">
  <ds:schemaRefs/>
</ds:datastoreItem>
</file>

<file path=customXml/itemProps6.xml><?xml version="1.0" encoding="utf-8"?>
<ds:datastoreItem xmlns:ds="http://schemas.openxmlformats.org/officeDocument/2006/customXml" ds:itemID="{916A0D10-F911-41D4-9AE4-07D27CCC6C10}">
  <ds:schemaRefs/>
</ds:datastoreItem>
</file>

<file path=customXml/itemProps7.xml><?xml version="1.0" encoding="utf-8"?>
<ds:datastoreItem xmlns:ds="http://schemas.openxmlformats.org/officeDocument/2006/customXml" ds:itemID="{7BF35EB4-2845-473B-8C27-F7D2E39030FA}">
  <ds:schemaRefs/>
</ds:datastoreItem>
</file>

<file path=customXml/itemProps8.xml><?xml version="1.0" encoding="utf-8"?>
<ds:datastoreItem xmlns:ds="http://schemas.openxmlformats.org/officeDocument/2006/customXml" ds:itemID="{F8EFB008-2424-42AD-93E5-C72FCD746173}">
  <ds:schemaRefs/>
</ds:datastoreItem>
</file>

<file path=customXml/itemProps9.xml><?xml version="1.0" encoding="utf-8"?>
<ds:datastoreItem xmlns:ds="http://schemas.openxmlformats.org/officeDocument/2006/customXml" ds:itemID="{E3FAF78C-1E42-4B65-BC06-A4E778B82C3C}">
  <ds:schemaRefs>
    <ds:schemaRef ds:uri="http://schemas.microsoft.com/DataMashup"/>
  </ds:schemaRefs>
</ds:datastoreItem>
</file>

<file path=customXml/itemProps10.xml><?xml version="1.0" encoding="utf-8"?>
<ds:datastoreItem xmlns:ds="http://schemas.openxmlformats.org/officeDocument/2006/customXml" ds:itemID="{35A52FBF-21BD-49CE-99C8-2CA3D5617232}">
  <ds:schemaRefs/>
</ds:datastoreItem>
</file>

<file path=customXml/itemProps11.xml><?xml version="1.0" encoding="utf-8"?>
<ds:datastoreItem xmlns:ds="http://schemas.openxmlformats.org/officeDocument/2006/customXml" ds:itemID="{5F31E6BF-C2C1-4432-85E6-F7594665C665}">
  <ds:schemaRefs/>
</ds:datastoreItem>
</file>

<file path=customXml/itemProps12.xml><?xml version="1.0" encoding="utf-8"?>
<ds:datastoreItem xmlns:ds="http://schemas.openxmlformats.org/officeDocument/2006/customXml" ds:itemID="{500D1725-23F2-4B5F-A649-CE0897C6C6A0}">
  <ds:schemaRefs/>
</ds:datastoreItem>
</file>

<file path=customXml/itemProps13.xml><?xml version="1.0" encoding="utf-8"?>
<ds:datastoreItem xmlns:ds="http://schemas.openxmlformats.org/officeDocument/2006/customXml" ds:itemID="{33440992-E7F8-43F1-858C-BFF20F5F48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visit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Devkate</dc:creator>
  <cp:lastModifiedBy>Aditya Devkate</cp:lastModifiedBy>
  <dcterms:created xsi:type="dcterms:W3CDTF">2026-05-28T08:52:54Z</dcterms:created>
  <dcterms:modified xsi:type="dcterms:W3CDTF">2026-05-30T08:43:43Z</dcterms:modified>
</cp:coreProperties>
</file>